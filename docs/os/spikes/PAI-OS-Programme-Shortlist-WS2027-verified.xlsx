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rtlist" sheetId="1" state="visible" r:id="rId3"/>
    <sheet name="Summary" sheetId="2" state="visible" r:id="rId4"/>
    <sheet name="Criteria and exclusions" sheetId="3" state="visible" r:id="rId5"/>
  </sheets>
  <definedNames>
    <definedName function="false" hidden="true" localSheetId="0" name="_xlnm._FilterDatabase" vbProcedure="false">Shortlist!$A$4:$R$34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<sst xmlns="http://schemas.openxmlformats.org/spreadsheetml/2006/main" count="545" uniqueCount="278">
  <si>
    <t xml:space="preserve">PAI OS: programme shortlist for the winter 2027 pilot</t>
  </si>
  <si>
    <t xml:space="preserve">Gathered 12 Oct 2026 from DAAD and university pages. Deadlines are the latest published (mostly for WS 2025/26–2026/27); only BTU Artificial Intelligence already shows WS 2027/28 dates. Every row stays 'unconfirmed' until the research agent (Spike 1) re-reads the official page and you confirm the quote.</t>
  </si>
  <si>
    <t xml:space="preserve">#</t>
  </si>
  <si>
    <t xml:space="preserve">Tier</t>
  </si>
  <si>
    <t xml:space="preserve">University</t>
  </si>
  <si>
    <t xml:space="preserve">City</t>
  </si>
  <si>
    <t xml:space="preserve">State</t>
  </si>
  <si>
    <t xml:space="preserve">Programme</t>
  </si>
  <si>
    <t xml:space="preserve">Degree</t>
  </si>
  <si>
    <t xml:space="preserve">Teaching language</t>
  </si>
  <si>
    <t xml:space="preserve">Tuition (non-EU)</t>
  </si>
  <si>
    <t xml:space="preserve">Winter deadline (non-EU, latest published)</t>
  </si>
  <si>
    <t xml:space="preserve">Source cycle</t>
  </si>
  <si>
    <t xml:space="preserve">Application route</t>
  </si>
  <si>
    <t xml:space="preserve">English minimum</t>
  </si>
  <si>
    <t xml:space="preserve">Special requirements</t>
  </si>
  <si>
    <t xml:space="preserve">Source URL</t>
  </si>
  <si>
    <t xml:space="preserve">Source type</t>
  </si>
  <si>
    <t xml:space="preserve">Status</t>
  </si>
  <si>
    <t xml:space="preserve">Your check (confirmed / wrong / notes)</t>
  </si>
  <si>
    <t xml:space="preserve">A</t>
  </si>
  <si>
    <t xml:space="preserve">TU Chemnitz</t>
  </si>
  <si>
    <t xml:space="preserve">Chemnitz</t>
  </si>
  <si>
    <t xml:space="preserve">Saxony</t>
  </si>
  <si>
    <t xml:space="preserve">Automotive Software Engineering</t>
  </si>
  <si>
    <t xml:space="preserve">MSc</t>
  </si>
  <si>
    <t xml:space="preserve">English (100%)</t>
  </si>
  <si>
    <t xml:space="preserve">None (semester contribution ~€340)</t>
  </si>
  <si>
    <t xml:space="preserve">1 Apr – 15 Jul</t>
  </si>
  <si>
    <t xml:space="preserve">DAAD 2026/27</t>
  </si>
  <si>
    <t xml:space="preserve">Check (Chemnitz uses uni-assist for others)</t>
  </si>
  <si>
    <t xml:space="preserve">IELTS 5.5 / B2</t>
  </si>
  <si>
    <t xml:space="preserve">https://www2.daad.de/deutschland/studienangebote/international-programmes/en/detail/4122/</t>
  </si>
  <si>
    <t xml:space="preserve">DAAD</t>
  </si>
  <si>
    <t xml:space="preserve">Unconfirmed for WS 2027/28</t>
  </si>
  <si>
    <t xml:space="preserve">Confirmed — DAAD 2026/27: 100% English, no tuition, semester fee ~€340.50, winter 1 Apr–15 Jul (TU Chemnitz: non-EU deadline 15 Jul). ROUTE RESOLVED: direct via TU Chemnitz EduApplication Portal (not uni-assist). English B2: IELTS 5.5 / TOEFL iBT 72 / PTE 59. No German needed to apply. Needs a CS (or closely related) bachelor; ECE/telecom degrees need significant CS coursework.
Sources: daad.de detail/4122; tu-chemnitz.de/studierendenservice/studserv/bewerbung/bew_bamala.php.en</t>
  </si>
  <si>
    <t xml:space="preserve">Embedded Systems</t>
  </si>
  <si>
    <t xml:space="preserve">None (~€296)</t>
  </si>
  <si>
    <t xml:space="preserve">15 Jul</t>
  </si>
  <si>
    <t xml:space="preserve">DAAD 2024/25</t>
  </si>
  <si>
    <t xml:space="preserve">uni-assist</t>
  </si>
  <si>
    <t xml:space="preserve">IELTS 5.5 / TOEFL 72</t>
  </si>
  <si>
    <t xml:space="preserve">https://www2.daad.de/deutschland/studienangebote/international-programmes/en/detail/4493</t>
  </si>
  <si>
    <t xml:space="preserve">Confirmed — 15 Jul deadline, uni-assist, IELTS 5.5 / TOEFL iBT 72, 100% English, no tuition. ADD TO SPECIAL REQUIREMENTS: German A1 certificate (Goethe/telc/ÖSD) must be submitted WITH the application; A2 by end of 3rd semester. Needs a bachelor in Electrical Engineering &amp; IT or equivalent. DAAD page is the 2024/25 cycle (fee ~€296 is old; TU Chemnitz is now ~€340).
Sources: daad.de detail/4493; tu-chemnitz.de bew_bamala.php.en</t>
  </si>
  <si>
    <t xml:space="preserve">Web Engineering</t>
  </si>
  <si>
    <t xml:space="preserve">English</t>
  </si>
  <si>
    <t xml:space="preserve">None (~€330)</t>
  </si>
  <si>
    <t xml:space="preserve">DAAD 2025/26</t>
  </si>
  <si>
    <t xml:space="preserve">https://www2.daad.de/deutschland/studienangebote/international-programmes/en/detail/4655/</t>
  </si>
  <si>
    <t xml:space="preserve">Wrong — application route: Web Engineering now applies DIRECTLY via the TU Chemnitz EduApplication Portal, not uni-assist. Everything else checks out: 100% English, no tuition (fee ~€330 in 2025/26, now ~€340), winter deadline 15 Jul (non-EU), IELTS 5.5 / TOEFL iBT 72 / PTE 59. No German needed to apply; A2 German required by end of 3rd semester (German classes built into the curriculum). Bachelor in (Applied) CS or similar.
Sources: daad.de detail/4655; tu-chemnitz.de bew_bamala.php.en</t>
  </si>
  <si>
    <t xml:space="preserve">Micro and Nano Systems</t>
  </si>
  <si>
    <t xml:space="preserve">None (~€340)</t>
  </si>
  <si>
    <t xml:space="preserve">https://www2.daad.de/deutschland/studienangebote/international-programmes/en/detail/4103/</t>
  </si>
  <si>
    <t xml:space="preserve">Confirmed — DAAD 2026/27: 100% English, no tuition, fee ~€340.50, 1 Apr–15 Jul, uni-assist, B2 (IELTS 5.5 / TOEFL iBT 72 / PTE 59). ADD TO SPECIAL REQUIREMENTS: German A1 certificate required with the application. Bachelor in Electrical Engineering &amp; IT or equivalent (board decides).
Sources: daad.de detail/4103; tu-chemnitz.de bew_bamala.php.en</t>
  </si>
  <si>
    <t xml:space="preserve">Otto von Guericke University</t>
  </si>
  <si>
    <t xml:space="preserve">Magdeburg</t>
  </si>
  <si>
    <t xml:space="preserve">Saxony-Anhalt</t>
  </si>
  <si>
    <t xml:space="preserve">Electrical Engineering (EEIT)</t>
  </si>
  <si>
    <t xml:space="preserve">None (~€278)</t>
  </si>
  <si>
    <t xml:space="preserve">15 Jul (international)</t>
  </si>
  <si>
    <t xml:space="preserve">IELTS 6.0 / TOEFL 80</t>
  </si>
  <si>
    <t xml:space="preserve">https://www2.daad.de/deutschland/studienangebote/international-programmes/en/detail/6091</t>
  </si>
  <si>
    <t xml:space="preserve">Confirmed — OVGU programme page: taught in English, international bachelor holders apply via uni-assist by 15 Jul (winter only), B2 English (DAAD: IELTS 6.0 / TOEFL iBT 80 / Cambridge FCE). ADD: minimum bachelor grade 2.0 (German scale); BSc in EE/IT or related; no NC. Semester fee €277.90 is from the 2024/25 DAAD page.
Sources: ovgu.de/en/-p-17627; ovgu.de/en/-p-107232; daad.de detail/6091</t>
  </si>
  <si>
    <t xml:space="preserve">BTU Cottbus-Senftenberg</t>
  </si>
  <si>
    <t xml:space="preserve">Cottbus</t>
  </si>
  <si>
    <t xml:space="preserve">Brandenburg</t>
  </si>
  <si>
    <t xml:space="preserve">Artificial Intelligence</t>
  </si>
  <si>
    <t xml:space="preserve">None</t>
  </si>
  <si>
    <t xml:space="preserve">1 Mar 2027 – 15 Jul 2027</t>
  </si>
  <si>
    <t xml:space="preserve">BTU official, WS 2027/28</t>
  </si>
  <si>
    <t xml:space="preserve">uni-assist (only route)</t>
  </si>
  <si>
    <t xml:space="preserve">Certificate required; no medium-of-instruction letters</t>
  </si>
  <si>
    <t xml:space="preserve">https://www.b-tu.de/en/artificial-intelligence-ms/faq</t>
  </si>
  <si>
    <t xml:space="preserve">Official</t>
  </si>
  <si>
    <t xml:space="preserve">Published for WS 2027/28 (re-check before use)</t>
  </si>
  <si>
    <t xml:space="preserve">Confirmed — BTU FAQ, WS 2027/28: foreign qualification 1 Mar 2027 – 15 Jul 2027 via uni-assist only (direct submission not possible). BTU's deadline overview lists AI as an exception at 15 Jul (most BTU international master's close 15 May). English: certificate required, medium-of-instruction letters NOT accepted; BTU's English handout sets the general master's minimum at IELTS 6.0 / TOEFL iBT 79. No German required. Also a summer intake: 1 Nov 2026 – 15 Jan 2027.
Sources: b-tu.de/en/artificial-intelligence-ms/faq; BTU handout MB_Sprachnachweis_Englisch; b-tu.de …/8-m-foreign-education-foreign-citizen</t>
  </si>
  <si>
    <t xml:space="preserve">Cyber Security</t>
  </si>
  <si>
    <t xml:space="preserve">15 Jul (third-party listing)</t>
  </si>
  <si>
    <t xml:space="preserve">Third-party</t>
  </si>
  <si>
    <t xml:space="preserve">uni-assist (likely, as AI)</t>
  </si>
  <si>
    <t xml:space="preserve">Check</t>
  </si>
  <si>
    <t xml:space="preserve">https://www.mygermanuniversity.com/cities/Cottbus/international-programs</t>
  </si>
  <si>
    <t xml:space="preserve">Unverified</t>
  </si>
  <si>
    <t xml:space="preserve">Wrong — deadline. Official BTU admission page (WS 2026/27): non-EU/EEA with foreign qualification 1 Mar – 15 May 2026 via uni-assist; 15 Aug applies only to EU/EEA. So this is a 15 May programme (Tier B, not A). No summer intake. English certificate required, MOI letters NOT accepted (BTU handout: IELTS 6.0 / TOEFL iBT 79). Needs a bachelor in CS, cyber security, or maths with CS minor; no German needed.
Source: b-tu.de/en/cybersecurity-ms/admission</t>
  </si>
  <si>
    <t xml:space="preserve">Micro- and Nanoelectronics</t>
  </si>
  <si>
    <t xml:space="preserve">uni-assist (likely)</t>
  </si>
  <si>
    <t xml:space="preserve">Wrong — deadline. Official BTU FAQ, WS 2027/28: foreign qualification 1 Mar 2027 – 15 May 2027 via uni-assist (not 15 Jul) → Tier B. MOI letters NOT accepted; English per BTU handout (IELTS 6.0 / TOEFL iBT 79). Applicants without Field Theory or a semiconductor course are unlikely to be admitted. No German needed.
Source: b-tu.de/micro-nano-electronics-ms/faq</t>
  </si>
  <si>
    <t xml:space="preserve">Environmental and Resource Management</t>
  </si>
  <si>
    <t xml:space="preserve">None (~€300)</t>
  </si>
  <si>
    <t xml:space="preserve">1 Jun (applicants needing a visa)</t>
  </si>
  <si>
    <t xml:space="preserve">IELTS 6.0 / TOEFL 79</t>
  </si>
  <si>
    <t xml:space="preserve">https://www2.daad.de/deutschland/studienangebote/international-programmes/en/detail/3681</t>
  </si>
  <si>
    <t xml:space="preserve">Wrong — deadline. The DAAD page used is the 2021/22 cycle (out of date). Official programme page (WS 2025/26): visa-required applicants with a foreign degree until 15 May; EU/EEA until 15 Aug. BTU's WS 2026/27 overview: international master's close 15 May → Tier B. Still correct: uni-assist, IELTS 6.0 / TOEFL iBT 79, English-taught, no tuition (semester fee ~€300).
Sources: b-tu.de/en/environment-ms/prospective-students/how-to-apply; b-tu.de …/8-m-foreign-education-foreign-citizen</t>
  </si>
  <si>
    <t xml:space="preserve">Rhine-Waal UAS</t>
  </si>
  <si>
    <t xml:space="preserve">Kleve</t>
  </si>
  <si>
    <t xml:space="preserve">NRW</t>
  </si>
  <si>
    <t xml:space="preserve">Mechanical Engineering</t>
  </si>
  <si>
    <t xml:space="preserve">None (~€295)</t>
  </si>
  <si>
    <t xml:space="preserve">C1 (no numeric score given)</t>
  </si>
  <si>
    <t xml:space="preserve">Non-EHEA degrees: TestAS ≥100, or GATE ≥80%, or GRE ≥60%</t>
  </si>
  <si>
    <t xml:space="preserve">https://www2.daad.de/deutschland/studienangebote/international-programmes/en/detail/4492</t>
  </si>
  <si>
    <t xml:space="preserve">DAAD + official</t>
  </si>
  <si>
    <t xml:space="preserve">Wrong — special requirements. DAAD: non-EHEA degree holders need TestAS (Core + Engineering module) ≥100, OR GATE, OR GRE Q160 / V145 / AW4.5 (not 'GATE ≥80% / GRE ≥60%'; no GATE threshold is published). Also requires: bachelor grade 2.5 or better and 210 ECTS (7 semesters). Confirmed: English C1 (IELTS/TOEFL at C1, no numeric score), uni-assist, no tuition, fee ~€295. Deadline confirmed by HSRW news: 15 Jul 2026 for all applicants regardless of origin.
Sources: daad.de detail/4492; hochschule-rhein-waal.de/en/node/6903</t>
  </si>
  <si>
    <t xml:space="preserve">Kamp-Lintfort</t>
  </si>
  <si>
    <t xml:space="preserve">Information Engineering and Computer Science</t>
  </si>
  <si>
    <t xml:space="preserve">B2</t>
  </si>
  <si>
    <t xml:space="preserve">Non-EHEA degrees: TestAS ≥100, or GATE, or GRE (Q160 V145 A4.5)</t>
  </si>
  <si>
    <t xml:space="preserve">https://www2.daad.de/deutschland/studienangebote/international-programmes/en/detail/4490</t>
  </si>
  <si>
    <t xml:space="preserve">Confirmed — English, no tuition, fee ~€295, uni-assist, B2 English (no numeric score), TestAS ≥100 or GATE or GRE (Q160 / V145 / AW4.5). ADD: bachelor grade 2.3 or better; restricted admission (competitive). HSRW news: WS 2026/27 deadline 15 Jul 2026 for all applicants; international applicants must use uni-assist.
Sources: daad.de detail/4490; hochschule-rhein-waal.de/en/node/6903</t>
  </si>
  <si>
    <t xml:space="preserve">University of Hildesheim</t>
  </si>
  <si>
    <t xml:space="preserve">Hildesheim</t>
  </si>
  <si>
    <t xml:space="preserve">Lower Saxony</t>
  </si>
  <si>
    <t xml:space="preserve">Data Analytics</t>
  </si>
  <si>
    <t xml:space="preserve">30 Jun (non-EU)</t>
  </si>
  <si>
    <t xml:space="preserve">Programme page, dated 2018</t>
  </si>
  <si>
    <t xml:space="preserve">Direct online form</t>
  </si>
  <si>
    <t xml:space="preserve">Page is old; verify everything</t>
  </si>
  <si>
    <t xml:space="preserve">https://www.ismll.uni-hildesheim.de/da/index_en.html</t>
  </si>
  <si>
    <t xml:space="preserve">Official (old)</t>
  </si>
  <si>
    <t xml:space="preserve">Confirmed — the programme page is current (© 2026, shows WS 2025/26 and SS 2026 intakes), so it is not a 2018 page. Non-EU deadline: winter 30 Jun, summer 15 Dec; direct online portal (rolling admission, apply early). English-taught. FILL: tuition none (Lower Saxony charges none); semester fee €439.85. English: IELTS 6.0 or TOEFL (page says 'computer-based 61', which looks wrong — confirm the TOEFL iBT score by email).
Source: ismll.uni-hildesheim.de/da/index_en.html</t>
  </si>
  <si>
    <t xml:space="preserve">Anhalt UAS</t>
  </si>
  <si>
    <t xml:space="preserve">Köthen</t>
  </si>
  <si>
    <t xml:space="preserve">Electrical and Computer Engineering</t>
  </si>
  <si>
    <t xml:space="preserve">MEng</t>
  </si>
  <si>
    <t xml:space="preserve">English (check)</t>
  </si>
  <si>
    <t xml:space="preserve">None (third-party)</t>
  </si>
  <si>
    <t xml:space="preserve">uni-assist (official page)</t>
  </si>
  <si>
    <t xml:space="preserve">https://www.hs-anhalt.de/studiengaenge/met/studium.html</t>
  </si>
  <si>
    <t xml:space="preserve">Official + third-party</t>
  </si>
  <si>
    <t xml:space="preserve">Confirmed — official page: Köthen campus, English, 3 semesters, winter 15 Mar – 15 Jul (summer 15 Sep – 15 Jan), international applicants via uni-assist, semester fee €322.80. DAAD/myGUIDE: 100% English, no tuition. IMPORTANT ADDITIONS: English C1 (TOEFL iBT 94 / IELTS 7.0); bachelor grade 2.4 or better; AT LEAST 1 YEAR relevant work experience; motivation letter; possible interview.
Sources: hs-anhalt.de/met; myguide.de ip-id=8357</t>
  </si>
  <si>
    <t xml:space="preserve">Biomedical Engineering</t>
  </si>
  <si>
    <t xml:space="preserve">https://www.mygermanuniversity.com/universities/Anhalt-University-of-Applied-Sciences/international-programs</t>
  </si>
  <si>
    <t xml:space="preserve">Needs follow-up — partly confirmed. Official application page: foreign applicants via uni-assist, winter 15 Mar – 15 Jul (summer 15 Sep – 15 Jan), no tuition, semester fee ~€96 + Deutschlandticket €226.80 = €322.80. TOEFL or IELTS required; an MOI letter is 'not enough'. Not stated on the official pages read: teaching language, minimum English score, campus. Confirm by email before use.
Source: hs-anhalt.de/studiengaenge/mbe/…/application-process-and-required-documents.html</t>
  </si>
  <si>
    <t xml:space="preserve">Photovoltaics Engineering Science</t>
  </si>
  <si>
    <t xml:space="preserve">Confirmed — official page: Köthen, English, winter 15 Mar – 15 Jul (also summer intake), uni-assist for applicants from abroad, no tuition (fee €304.80–€322.80). ADD: bachelor in EE/physics with grade 2.5 or better, ≥210 ECTS, university rated H+ in anabin; pre-assessment strongly recommended before 15 Jun. English B2 — myGUIDE: IELTS 6.0 / TOEFL iBT 90; the official page states TOEFL iBT 100 (sources conflict; Duolingo not accepted).
Sources: hs-anhalt.de/en/…/photovoltaics-engineering-science-master-of-science.html; myguide.de ip-id=6900</t>
  </si>
  <si>
    <t xml:space="preserve">B</t>
  </si>
  <si>
    <t xml:space="preserve">Data and Knowledge Engineering</t>
  </si>
  <si>
    <t xml:space="preserve">English or German</t>
  </si>
  <si>
    <t xml:space="preserve">15 May (international)</t>
  </si>
  <si>
    <t xml:space="preserve">C1 English or German</t>
  </si>
  <si>
    <t xml:space="preserve">https://www2.daad.de/deutschland/studienangebote/international-programmes/en/detail/4429</t>
  </si>
  <si>
    <t xml:space="preserve">Confirmed — OVGU uni-assist FAQ: Data and Knowledge Engineering winter window 15 Apr – 15 May. Via uni-assist; taught fully in English or fully in German; C1 in the chosen language; no tuition, fee €277.90 (2024/25 figure).
Sources: ovgu.de/en/-p-107232; daad.de detail/4429</t>
  </si>
  <si>
    <t xml:space="preserve">Digital Engineering</t>
  </si>
  <si>
    <t xml:space="preserve">None for most programmes (~€278)</t>
  </si>
  <si>
    <t xml:space="preserve">https://www2.daad.de/deutschland/studienangebote/international-programmes/en/detail/4427</t>
  </si>
  <si>
    <t xml:space="preserve">Confirmed — OVGU uni-assist FAQ: Digital Engineering winter window 15 Apr – 15 May. Via uni-assist; can be studied 100% in English or 100% in German; C1; aimed at engineering or CS bachelors. No tuition (Saxony-Anhalt charges none), fee €277.90 (2024/25 figure).
Sources: ovgu.de/en/-p-107232; daad.de detail/4427</t>
  </si>
  <si>
    <t xml:space="preserve">Power Engineering</t>
  </si>
  <si>
    <t xml:space="preserve">'probably 15 May' (DAAD); 15 Jul (third-party)</t>
  </si>
  <si>
    <t xml:space="preserve">Sources disagree: research must resolve</t>
  </si>
  <si>
    <t xml:space="preserve">https://www.b-tu.de/en/powerengineering-ms/admission</t>
  </si>
  <si>
    <t xml:space="preserve">Conflicting</t>
  </si>
  <si>
    <t xml:space="preserve">Confirmed — conflict resolved: 15 May is correct. Official BTU admission page (WS 2026/27): non-EU/EEA with foreign qualification 1 Mar – 15 May 2026 via uni-assist (15 Aug for EU/EEA only). The third-party '15 Jul' is wrong. No summer intake. B2 English (BTU handout: IELTS 6.0 / TOEFL iBT 79). The two specialisations (EPE / PGF) are separate uni-assist applications and cannot be switched after submission.
Source: b-tu.de/en/powerengineering-ms/admission</t>
  </si>
  <si>
    <t xml:space="preserve">TU Ilmenau</t>
  </si>
  <si>
    <t xml:space="preserve">Ilmenau</t>
  </si>
  <si>
    <t xml:space="preserve">Thuringia</t>
  </si>
  <si>
    <t xml:space="preserve">Research in Computer &amp; Systems Engineering</t>
  </si>
  <si>
    <t xml:space="preserve">None (~€150)</t>
  </si>
  <si>
    <t xml:space="preserve">16 Jan – 15 May (non-EEA)</t>
  </si>
  <si>
    <t xml:space="preserve">Direct (tu-ilmenau.de/apply)</t>
  </si>
  <si>
    <t xml:space="preserve">IELTS 7.0 / TOEFL 95 (C1)</t>
  </si>
  <si>
    <t xml:space="preserve">Visa applicants: apply 3 months before deadline</t>
  </si>
  <si>
    <t xml:space="preserve">https://www2.daad.de/deutschland/studienangebote/international-programmes/en/detail/4092</t>
  </si>
  <si>
    <t xml:space="preserve">Needs follow-up — TU Ilmenau's site blocks automated reading, so only the DAAD 2024/25 page could be checked: non-EEA 16 Jan – 15 May, direct at tu-ilmenau.de/apply, C1 English (IELTS 7.0 / TOEFL iBT 95 / CAE), bachelor in CS or computer engineering ≥180 credits, visa applicants should apply 3 months early. Fee ~€150 is a 2024/25 figure and is probably higher now. Open the official programme page to confirm.
Source: daad.de detail/4092</t>
  </si>
  <si>
    <t xml:space="preserve">Paderborn University</t>
  </si>
  <si>
    <t xml:space="preserve">Paderborn</t>
  </si>
  <si>
    <t xml:space="preserve">Computer Science</t>
  </si>
  <si>
    <t xml:space="preserve">Mostly English</t>
  </si>
  <si>
    <t xml:space="preserve">31 May</t>
  </si>
  <si>
    <t xml:space="preserve">IELTS 6.5 / TOEFL 80</t>
  </si>
  <si>
    <t xml:space="preserve">https://www2.daad.de/deutschland/studienangebote/international-programmes/en/detail/5616</t>
  </si>
  <si>
    <t xml:space="preserve">Confirmed — Mostly English, no tuition, winter 31 May (summer 30 Nov), TOEFL iBT 80 / IELTS 6.5 (also Duolingo 105, PTE 75; MOI not accepted). ROUTE: uni-assist only. IMPORTANT ADDITION: GRE General (Q ≥157, AW ≥4.0) or dMat CS (≥50%) required unless bachelor grade is better than 1.8 German scale. Minimum credits: SE 20, Theoretical CS 20, Technical CS 15, Maths 15, HCI 8.
Sources: cs.uni-paderborn.de/en/studies/getting-started/information-for-international-students; daad.de detail/5616</t>
  </si>
  <si>
    <t xml:space="preserve">Computer Engineering</t>
  </si>
  <si>
    <t xml:space="preserve">https://www2.daad.de/deutschland/studienangebote/international-programmes/en/detail/5625</t>
  </si>
  <si>
    <t xml:space="preserve">Confirmed and filled in — teaching language: English (department flyer says 'fully taught in English'; university page says it can also be taken in German). Tuition: none (social fee ~€310). Route: uni-assist. English: TOEFL iBT 80 / IELTS 6.5 / CAE grade B. Deadline 31 May (winter), 30 Nov (summer). Non-EU: GRE (Q ≥157, AW ≥4.0) required unless bachelor grade is better than 1.8. Free admission (no NC).
Sources: uni-paderborn.de/en/studyoffer/course_of_study/computer-engineering-master; ei.uni-paderborn.de CE-Flyer_MA_EN.pdf</t>
  </si>
  <si>
    <t xml:space="preserve">Saarland University</t>
  </si>
  <si>
    <t xml:space="preserve">Saarbrücken</t>
  </si>
  <si>
    <t xml:space="preserve">Saarland</t>
  </si>
  <si>
    <t xml:space="preserve">15 May</t>
  </si>
  <si>
    <t xml:space="preserve">https://www2.daad.de/deutschland/studienangebote/international-programmes/en/detail/3923</t>
  </si>
  <si>
    <t xml:space="preserve">Confirmed and filled in — all courses in English. Tuition: none; admin fee ~€280/semester. Route: direct via apply.cs.uni-saarland.de. English C1 with a TOEFL/IELTS/CPE certificate. Winter deadlines: early 15 Nov, normal 15 May. GRE recommended, not mandatory; bachelor grade ≥75%; 2 recommendation letters.
Source: myguide.de / daad.de ip-id 3923</t>
  </si>
  <si>
    <t xml:space="preserve">TU Dortmund</t>
  </si>
  <si>
    <t xml:space="preserve">Dortmund</t>
  </si>
  <si>
    <t xml:space="preserve">Automation and Robotics</t>
  </si>
  <si>
    <t xml:space="preserve">Feb – 15 May</t>
  </si>
  <si>
    <t xml:space="preserve">uni-assist (non-EU)</t>
  </si>
  <si>
    <t xml:space="preserve">IELTS 7.0 / TOEFL 95</t>
  </si>
  <si>
    <t xml:space="preserve">https://www2.daad.de/deutschland/studienangebote/international-programmes/en/detail/8996</t>
  </si>
  <si>
    <t xml:space="preserve">Needs follow-up — DAAD (2024/25) and a third-party listing agree: non-EU applicants via uni-assist (opens early Feb), deadline 15 May; C1 English (IELTS 7.0 / TOEFL iBT 95, test not older than 2 years); maths and computer-systems background required; no tuition (~€340 fee). TU Dortmund's programme page did not show admission details, so confirm on the official site.
Sources: daad.de detail/8996; mygermanuniversity.com/master/automation-and-robotics/85</t>
  </si>
  <si>
    <t xml:space="preserve">University of Passau</t>
  </si>
  <si>
    <t xml:space="preserve">Passau</t>
  </si>
  <si>
    <t xml:space="preserve">Bavaria</t>
  </si>
  <si>
    <t xml:space="preserve">None (~€130)</t>
  </si>
  <si>
    <t xml:space="preserve">1 Apr – 31 May</t>
  </si>
  <si>
    <t xml:space="preserve">IELTS 5.5 / TOEFL 87</t>
  </si>
  <si>
    <t xml:space="preserve">https://www2.daad.de/deutschland/studienangebote/international-programmes/en/detail/4455/</t>
  </si>
  <si>
    <t xml:space="preserve">Confirmed — DAAD 2026/27: winter 1 Apr – 31 May, B2 English (IELTS 5.5 / TOEFL iBT 87) or German B2; fee ~€130. ROUTE: uni-assist (complete application and fee must reach uni-assist by the deadline). TUITION: none — Passau says it does not plan fees 'at this time', but Bavaria lets universities charge non-EU students, so re-check before the 2027 intake. ADD: ≥110 ECTS of CS; grade 2.7 or better or top 70%.
Sources: daad.de detail/4455; uni-passau.de/en/degree-seeking; uni-passau.de press release (26 Jan 2024)</t>
  </si>
  <si>
    <t xml:space="preserve">University of Siegen</t>
  </si>
  <si>
    <t xml:space="preserve">Siegen</t>
  </si>
  <si>
    <t xml:space="preserve">None (~€372)</t>
  </si>
  <si>
    <t xml:space="preserve">1 Jan – 30 Apr</t>
  </si>
  <si>
    <t xml:space="preserve">IELTS 6.5 / TOEFL 88 (C1)</t>
  </si>
  <si>
    <t xml:space="preserve">https://www2.daad.de/deutschland/studienangebote/international-programmes/en/detail/4591/</t>
  </si>
  <si>
    <t xml:space="preserve">Confirmed — WS 2026/27: UNISONO portal opened 1 Jan 2026, deadline 30 Apr 2026; non-EU can apply for winter only. ROUTE: direct via unisono.uni-siegen.de (not uni-assist). C1 English (IELTS 6.5 / TOEFL iBT 88 with 22 per section / CAE); MOI letters NOT accepted. All courses in English, no tuition, fee ~€372. Incomplete applications are rejected automatically.
Sources: uni-siegen.de/node/6003; daad.de detail/4591</t>
  </si>
  <si>
    <t xml:space="preserve">Mechatronics</t>
  </si>
  <si>
    <t xml:space="preserve">Direct (faculty / unisono)</t>
  </si>
  <si>
    <t xml:space="preserve">https://www.uni-siegen.de/en/study/master/mechatronics</t>
  </si>
  <si>
    <t xml:space="preserve">Confirmed — official page: English, 1 Jan – 30 Apr, separate direct application (faculty + unisono), B2 English, open admission, engineering bachelor required. FILL tuition: none (NRW charges none); Siegen semester fee ~€372.
Source: uni-siegen.de/en/study/master/mechatronics</t>
  </si>
  <si>
    <t xml:space="preserve">RPTU Kaiserslautern-Landau</t>
  </si>
  <si>
    <t xml:space="preserve">Kaiserslautern</t>
  </si>
  <si>
    <t xml:space="preserve">Rhineland-Palatinate</t>
  </si>
  <si>
    <t xml:space="preserve">Commercial Vehicle Technology</t>
  </si>
  <si>
    <t xml:space="preserve">30 Apr (applying from abroad)</t>
  </si>
  <si>
    <t xml:space="preserve">Own online application</t>
  </si>
  <si>
    <t xml:space="preserve">https://rptu.de/en/cvt/master-program-cvt/application-admission-requirements</t>
  </si>
  <si>
    <t xml:space="preserve">Confirmed — official page: applicants from abroad 30 Apr, winter intake only, online application only, TOEFL iBT 80 / IELTS 6.0 (English-taught bachelor may waive it). ADD: German A1 certificate required; bachelor in engineering/CS with grade 1.0–3.0. Tuition: none (Rhineland-Palatinate charges none); semester fee not checked.
Source: rptu.de/en/cvt/master-program-cvt/application-admission-requirements</t>
  </si>
  <si>
    <t xml:space="preserve">TU Bergakademie Freiberg</t>
  </si>
  <si>
    <t xml:space="preserve">Freiberg</t>
  </si>
  <si>
    <t xml:space="preserve">Computational Materials Science</t>
  </si>
  <si>
    <t xml:space="preserve">None (~€94)</t>
  </si>
  <si>
    <t xml:space="preserve">1 Jan – 15 Apr</t>
  </si>
  <si>
    <t xml:space="preserve">Direct (university portal)</t>
  </si>
  <si>
    <t xml:space="preserve">IELTS 6.5 / TOEFL 90</t>
  </si>
  <si>
    <t xml:space="preserve">https://www2.daad.de/deutschland/studienangebote/international-programmes/en/detail/4288</t>
  </si>
  <si>
    <t xml:space="preserve">Confirmed — 1 Jan – 15 Apr (brochure: 15 Apr for non-EU, 15 Aug for EU); direct online application on the TU Freiberg portal, then documents to the faculty. Fee now €107 (myGUIDE), not €94. English: DAAD/myGUIDE say TOEFL iBT 90 / IELTS 6.5 (older brochure says TOEFL 79; use the higher figure). ADD: GPA ≥75%; APS only for India, China, Vietnam.
Sources: daad.de detail/4288; myguide.de ip-id=4288; tu-freiberg.de/media/2369/download</t>
  </si>
  <si>
    <t xml:space="preserve">C</t>
  </si>
  <si>
    <t xml:space="preserve">Hof UAS</t>
  </si>
  <si>
    <t xml:space="preserve">Hof</t>
  </si>
  <si>
    <t xml:space="preserve">Software Engineering for Industrial Applications</t>
  </si>
  <si>
    <t xml:space="preserve">Not found yet</t>
  </si>
  <si>
    <t xml:space="preserve">n/a</t>
  </si>
  <si>
    <t xml:space="preserve">Research must find deadline</t>
  </si>
  <si>
    <t xml:space="preserve">https://www.myguide.de/en/international-programmes-master/detail/hochschule-hof-software-engineering-for-industrial-applications-meng-3667/?ip-id=3667</t>
  </si>
  <si>
    <t xml:space="preserve">DAAD (not readable)</t>
  </si>
  <si>
    <t xml:space="preserve">Unknown</t>
  </si>
  <si>
    <t xml:space="preserve">Wrong — EXCLUDE: fails the no-tuition criterion. DAAD/myGUIDE and master-and-more list tuition of €3,300 per semester for ALL students (EU and non-EU). Also requires 1 year of work experience after graduating. Deadline found: winter 15 Apr – 31 May; TOEFL 90 / IELTS 6.5; A2 German by the internship. The Hof website could not be loaded, so confirm there if you want to keep it.
Sources: myguide.de ip-id=3667; master-and-more.eu (Hof SEIA profile)</t>
  </si>
  <si>
    <t xml:space="preserve">University of Koblenz</t>
  </si>
  <si>
    <t xml:space="preserve">Koblenz</t>
  </si>
  <si>
    <t xml:space="preserve">Web and Data Science</t>
  </si>
  <si>
    <t xml:space="preserve">https://www.myguide.de/en/international-programmes-master/detail/university-of-koblenz-web-and-data-science-msc-4384/?ip-id=4384</t>
  </si>
  <si>
    <t xml:space="preserve">Confirmed — deadline found: 15 Jun (non-EU), winter intake only → fits Tier A. Route: uni-assist. English: IELTS 6.5 / TOEFL iBT 79 / Cambridge B2+. Bachelor grade 2.5 or better (CGPA 65% / grade B); no admission restriction; no German needed; no tuition, semester fee ~€290. Upload your bachelor thesis or a major project report with the application.
Sources: uni-koblenz.de/en/degree-programs/web-and-data-science-msc; myguide.de ip-id=4384</t>
  </si>
  <si>
    <t xml:space="preserve">Summary</t>
  </si>
  <si>
    <t xml:space="preserve">Tier A: deadline June–July (fits a March–April pilot start)</t>
  </si>
  <si>
    <t xml:space="preserve">Tier B: deadline April–May (tight; students apply early)</t>
  </si>
  <si>
    <t xml:space="preserve">Tier C: deadline not found yet</t>
  </si>
  <si>
    <t xml:space="preserve">Total programmes</t>
  </si>
  <si>
    <t xml:space="preserve">Rows from DAAD or official pages</t>
  </si>
  <si>
    <t xml:space="preserve">Rows from third-party listings only (verify first)</t>
  </si>
  <si>
    <t xml:space="preserve">Rows you have marked Confirmed</t>
  </si>
  <si>
    <t xml:space="preserve">Rows marked Wrong (see notes)</t>
  </si>
  <si>
    <t xml:space="preserve">Rows marked Needs follow-up</t>
  </si>
  <si>
    <t xml:space="preserve">Selection criteria</t>
  </si>
  <si>
    <t xml:space="preserve">1.</t>
  </si>
  <si>
    <t xml:space="preserve">Master's taught fully (or mainly) in English</t>
  </si>
  <si>
    <t xml:space="preserve">2.</t>
  </si>
  <si>
    <t xml:space="preserve">German public university or public university of applied sciences</t>
  </si>
  <si>
    <t xml:space="preserve">3.</t>
  </si>
  <si>
    <t xml:space="preserve">No tuition for non-EU students (semester contribution only)</t>
  </si>
  <si>
    <t xml:space="preserve">4.</t>
  </si>
  <si>
    <t xml:space="preserve">Fields common among Pakistani graduates: CS, AI/data, embedded/electrical, mechanical/automotive, energy, environment</t>
  </si>
  <si>
    <t xml:space="preserve">5.</t>
  </si>
  <si>
    <t xml:space="preserve">Winter start, with the latest possible non-EU deadline (Tier A = June–July)</t>
  </si>
  <si>
    <t xml:space="preserve">6.</t>
  </si>
  <si>
    <t xml:space="preserve">A mix of uni-assist and direct applications, so the playbook covers both routes</t>
  </si>
  <si>
    <t xml:space="preserve">Considered and excluded</t>
  </si>
  <si>
    <t xml:space="preserve">TU Munich (TUM)</t>
  </si>
  <si>
    <t xml:space="preserve">Tuition for non-EU students</t>
  </si>
  <si>
    <t xml:space="preserve">KIT, Stuttgart, Freiburg, Ulm, Heidelberg</t>
  </si>
  <si>
    <t xml:space="preserve">Baden-Württemberg charges non-EU students €1,500 per semester</t>
  </si>
  <si>
    <t xml:space="preserve">RWTH Aachen, TU Hamburg</t>
  </si>
  <si>
    <t xml:space="preserve">Early deadlines (around January–March)</t>
  </si>
  <si>
    <t xml:space="preserve">TU Clausthal, Petroleum Engineering</t>
  </si>
  <si>
    <t xml:space="preserve">Non-EU deadline 15 Jan 2027: too early for the pilot</t>
  </si>
  <si>
    <t xml:space="preserve">Duisburg-Essen, Embedded Systems Engineering</t>
  </si>
  <si>
    <t xml:space="preserve">Taught 50% in German</t>
  </si>
  <si>
    <t xml:space="preserve">Deggendorf, AI and Data Science</t>
  </si>
  <si>
    <t xml:space="preserve">Joint degree with a different winter process; main intake listed for March</t>
  </si>
  <si>
    <t xml:space="preserve">Erasmus Mundus programmes (e.g. BTU EU-CORE)</t>
  </si>
  <si>
    <t xml:space="preserve">Tuition and separate scholarship cycle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</si>
</sst>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5E9"/>
        <bgColor rgb="FFF3F3F3"/>
      </patternFill>
    </fill>
    <fill>
      <patternFill patternType="solid">
        <fgColor rgb="FFE2F0D9"/>
        <bgColor rgb="FFE8F5E9"/>
      </patternFill>
    </fill>
    <fill>
      <patternFill patternType="solid">
        <fgColor rgb="FFF8D7DA"/>
        <bgColor rgb="FFFFF2CC"/>
      </patternFill>
    </fill>
    <fill>
      <patternFill patternType="solid">
        <fgColor rgb="FFFFF2CC"/>
        <bgColor rgb="FFFFF8E1"/>
      </patternFill>
    </fill>
    <fill>
      <patternFill patternType="solid">
        <fgColor rgb="FFFFF8E1"/>
        <bgColor rgb="FFFFF2CC"/>
      </patternFill>
    </fill>
    <fill>
      <patternFill patternType="solid">
        <fgColor rgb="FFF3F3F3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8E1"/>
      <rgbColor rgb="FFE8F5E9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E2F0D9"/>
      <rgbColor rgb="FFFFF2CC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2.daad.de/deutschland/studienangebote/international-programmes/en/detail/4122/" TargetMode="External"/><Relationship Id="rId2" Type="http://schemas.openxmlformats.org/officeDocument/2006/relationships/hyperlink" Target="https://www2.daad.de/deutschland/studienangebote/international-programmes/en/detail/4493" TargetMode="External"/><Relationship Id="rId3" Type="http://schemas.openxmlformats.org/officeDocument/2006/relationships/hyperlink" Target="https://www2.daad.de/deutschland/studienangebote/international-programmes/en/detail/4655/" TargetMode="External"/><Relationship Id="rId4" Type="http://schemas.openxmlformats.org/officeDocument/2006/relationships/hyperlink" Target="https://www2.daad.de/deutschland/studienangebote/international-programmes/en/detail/4103/" TargetMode="External"/><Relationship Id="rId5" Type="http://schemas.openxmlformats.org/officeDocument/2006/relationships/hyperlink" Target="https://www2.daad.de/deutschland/studienangebote/international-programmes/en/detail/6091" TargetMode="External"/><Relationship Id="rId6" Type="http://schemas.openxmlformats.org/officeDocument/2006/relationships/hyperlink" Target="https://www.b-tu.de/en/artificial-intelligence-ms/faq" TargetMode="External"/><Relationship Id="rId7" Type="http://schemas.openxmlformats.org/officeDocument/2006/relationships/hyperlink" Target="https://www.mygermanuniversity.com/cities/Cottbus/international-programs" TargetMode="External"/><Relationship Id="rId8" Type="http://schemas.openxmlformats.org/officeDocument/2006/relationships/hyperlink" Target="https://www.mygermanuniversity.com/cities/Cottbus/international-programs" TargetMode="External"/><Relationship Id="rId9" Type="http://schemas.openxmlformats.org/officeDocument/2006/relationships/hyperlink" Target="https://www2.daad.de/deutschland/studienangebote/international-programmes/en/detail/3681" TargetMode="External"/><Relationship Id="rId10" Type="http://schemas.openxmlformats.org/officeDocument/2006/relationships/hyperlink" Target="https://www2.daad.de/deutschland/studienangebote/international-programmes/en/detail/4492" TargetMode="External"/><Relationship Id="rId11" Type="http://schemas.openxmlformats.org/officeDocument/2006/relationships/hyperlink" Target="https://www2.daad.de/deutschland/studienangebote/international-programmes/en/detail/4490" TargetMode="External"/><Relationship Id="rId12" Type="http://schemas.openxmlformats.org/officeDocument/2006/relationships/hyperlink" Target="https://www.ismll.uni-hildesheim.de/da/index_en.html" TargetMode="External"/><Relationship Id="rId13" Type="http://schemas.openxmlformats.org/officeDocument/2006/relationships/hyperlink" Target="https://www.hs-anhalt.de/studiengaenge/met/studium.html" TargetMode="External"/><Relationship Id="rId14" Type="http://schemas.openxmlformats.org/officeDocument/2006/relationships/hyperlink" Target="https://www.mygermanuniversity.com/universities/Anhalt-University-of-Applied-Sciences/international-programs" TargetMode="External"/><Relationship Id="rId15" Type="http://schemas.openxmlformats.org/officeDocument/2006/relationships/hyperlink" Target="https://www.mygermanuniversity.com/universities/Anhalt-University-of-Applied-Sciences/international-programs" TargetMode="External"/><Relationship Id="rId16" Type="http://schemas.openxmlformats.org/officeDocument/2006/relationships/hyperlink" Target="https://www2.daad.de/deutschland/studienangebote/international-programmes/en/detail/4429" TargetMode="External"/><Relationship Id="rId17" Type="http://schemas.openxmlformats.org/officeDocument/2006/relationships/hyperlink" Target="https://www2.daad.de/deutschland/studienangebote/international-programmes/en/detail/4427" TargetMode="External"/><Relationship Id="rId18" Type="http://schemas.openxmlformats.org/officeDocument/2006/relationships/hyperlink" Target="https://www.b-tu.de/en/powerengineering-ms/admission" TargetMode="External"/><Relationship Id="rId19" Type="http://schemas.openxmlformats.org/officeDocument/2006/relationships/hyperlink" Target="https://www2.daad.de/deutschland/studienangebote/international-programmes/en/detail/4092" TargetMode="External"/><Relationship Id="rId20" Type="http://schemas.openxmlformats.org/officeDocument/2006/relationships/hyperlink" Target="https://www2.daad.de/deutschland/studienangebote/international-programmes/en/detail/5616" TargetMode="External"/><Relationship Id="rId21" Type="http://schemas.openxmlformats.org/officeDocument/2006/relationships/hyperlink" Target="https://www2.daad.de/deutschland/studienangebote/international-programmes/en/detail/5625" TargetMode="External"/><Relationship Id="rId22" Type="http://schemas.openxmlformats.org/officeDocument/2006/relationships/hyperlink" Target="https://www2.daad.de/deutschland/studienangebote/international-programmes/en/detail/3923" TargetMode="External"/><Relationship Id="rId23" Type="http://schemas.openxmlformats.org/officeDocument/2006/relationships/hyperlink" Target="https://www2.daad.de/deutschland/studienangebote/international-programmes/en/detail/8996" TargetMode="External"/><Relationship Id="rId24" Type="http://schemas.openxmlformats.org/officeDocument/2006/relationships/hyperlink" Target="https://www2.daad.de/deutschland/studienangebote/international-programmes/en/detail/4455/" TargetMode="External"/><Relationship Id="rId25" Type="http://schemas.openxmlformats.org/officeDocument/2006/relationships/hyperlink" Target="https://www2.daad.de/deutschland/studienangebote/international-programmes/en/detail/4591/" TargetMode="External"/><Relationship Id="rId26" Type="http://schemas.openxmlformats.org/officeDocument/2006/relationships/hyperlink" Target="https://www.uni-siegen.de/en/study/master/mechatronics" TargetMode="External"/><Relationship Id="rId27" Type="http://schemas.openxmlformats.org/officeDocument/2006/relationships/hyperlink" Target="https://rptu.de/en/cvt/master-program-cvt/application-admission-requirements" TargetMode="External"/><Relationship Id="rId28" Type="http://schemas.openxmlformats.org/officeDocument/2006/relationships/hyperlink" Target="https://www2.daad.de/deutschland/studienangebote/international-programmes/en/detail/4288" TargetMode="External"/><Relationship Id="rId29" Type="http://schemas.openxmlformats.org/officeDocument/2006/relationships/hyperlink" Target="https://www.myguide.de/en/international-programmes-master/detail/hochschule-hof-software-engineering-for-industrial-applications-meng-3667/?ip-id=3667" TargetMode="External"/><Relationship Id="rId30" Type="http://schemas.openxmlformats.org/officeDocument/2006/relationships/hyperlink" Target="https://www.myguide.de/en/international-programmes-master/detail/university-of-koblenz-web-and-data-science-msc-4384/?ip-id=4384" TargetMode="External"/><Relationship Id="rId3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34"/>
    <col collapsed="false" customWidth="true" hidden="false" outlineLevel="0" max="7" min="7" style="1" width="7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0" min="10" style="1" width="30"/>
    <col collapsed="false" customWidth="true" hidden="false" outlineLevel="0" max="11" min="11" style="1" width="18"/>
    <col collapsed="false" customWidth="true" hidden="false" outlineLevel="0" max="13" min="12" style="1" width="24"/>
    <col collapsed="false" customWidth="true" hidden="false" outlineLevel="0" max="14" min="14" style="1" width="34"/>
    <col collapsed="false" customWidth="true" hidden="false" outlineLevel="0" max="15" min="15" style="1" width="48"/>
    <col collapsed="false" customWidth="true" hidden="false" outlineLevel="0" max="16" min="16" style="1" width="16"/>
    <col collapsed="false" customWidth="true" hidden="false" outlineLevel="0" max="17" min="17" style="1" width="24"/>
    <col collapsed="false" customWidth="true" hidden="false" outlineLevel="0" max="18" min="18" style="1" width="85"/>
  </cols>
  <sheetData>
    <row r="1" customFormat="false" ht="15.75" hidden="false" customHeight="tru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81.75" hidden="false" customHeight="true" outlineLevel="0" collapsed="false">
      <c r="A5" s="5" t="n">
        <v>1</v>
      </c>
      <c r="B5" s="5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6" t="s">
        <v>27</v>
      </c>
      <c r="J5" s="6" t="s">
        <v>28</v>
      </c>
      <c r="K5" s="6" t="s">
        <v>29</v>
      </c>
      <c r="L5" s="6" t="s">
        <v>30</v>
      </c>
      <c r="M5" s="6" t="s">
        <v>31</v>
      </c>
      <c r="N5" s="6"/>
      <c r="O5" s="7" t="s">
        <v>32</v>
      </c>
      <c r="P5" s="6" t="s">
        <v>33</v>
      </c>
      <c r="Q5" s="6" t="s">
        <v>34</v>
      </c>
      <c r="R5" s="8" t="s">
        <v>35</v>
      </c>
    </row>
    <row r="6" customFormat="false" ht="69" hidden="false" customHeight="true" outlineLevel="0" collapsed="false">
      <c r="A6" s="5" t="n">
        <v>2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36</v>
      </c>
      <c r="G6" s="6" t="s">
        <v>25</v>
      </c>
      <c r="H6" s="6" t="s">
        <v>26</v>
      </c>
      <c r="I6" s="6" t="s">
        <v>37</v>
      </c>
      <c r="J6" s="6" t="s">
        <v>38</v>
      </c>
      <c r="K6" s="6" t="s">
        <v>39</v>
      </c>
      <c r="L6" s="6" t="s">
        <v>40</v>
      </c>
      <c r="M6" s="6" t="s">
        <v>41</v>
      </c>
      <c r="N6" s="6"/>
      <c r="O6" s="7" t="s">
        <v>42</v>
      </c>
      <c r="P6" s="6" t="s">
        <v>33</v>
      </c>
      <c r="Q6" s="6" t="s">
        <v>34</v>
      </c>
      <c r="R6" s="8" t="s">
        <v>43</v>
      </c>
    </row>
    <row r="7" customFormat="false" ht="81.75" hidden="false" customHeight="true" outlineLevel="0" collapsed="false">
      <c r="A7" s="5" t="n">
        <v>3</v>
      </c>
      <c r="B7" s="5" t="s">
        <v>20</v>
      </c>
      <c r="C7" s="6" t="s">
        <v>21</v>
      </c>
      <c r="D7" s="6" t="s">
        <v>22</v>
      </c>
      <c r="E7" s="6" t="s">
        <v>23</v>
      </c>
      <c r="F7" s="6" t="s">
        <v>44</v>
      </c>
      <c r="G7" s="6" t="s">
        <v>25</v>
      </c>
      <c r="H7" s="6" t="s">
        <v>45</v>
      </c>
      <c r="I7" s="6" t="s">
        <v>46</v>
      </c>
      <c r="J7" s="6" t="s">
        <v>38</v>
      </c>
      <c r="K7" s="6" t="s">
        <v>47</v>
      </c>
      <c r="L7" s="6" t="s">
        <v>40</v>
      </c>
      <c r="M7" s="6" t="s">
        <v>41</v>
      </c>
      <c r="N7" s="6"/>
      <c r="O7" s="7" t="s">
        <v>48</v>
      </c>
      <c r="P7" s="6" t="s">
        <v>33</v>
      </c>
      <c r="Q7" s="6" t="s">
        <v>34</v>
      </c>
      <c r="R7" s="9" t="s">
        <v>49</v>
      </c>
    </row>
    <row r="8" customFormat="false" ht="55.5" hidden="false" customHeight="true" outlineLevel="0" collapsed="false">
      <c r="A8" s="5" t="n">
        <v>4</v>
      </c>
      <c r="B8" s="5" t="s">
        <v>20</v>
      </c>
      <c r="C8" s="6" t="s">
        <v>21</v>
      </c>
      <c r="D8" s="6" t="s">
        <v>22</v>
      </c>
      <c r="E8" s="6" t="s">
        <v>23</v>
      </c>
      <c r="F8" s="6" t="s">
        <v>50</v>
      </c>
      <c r="G8" s="6" t="s">
        <v>25</v>
      </c>
      <c r="H8" s="6" t="s">
        <v>26</v>
      </c>
      <c r="I8" s="6" t="s">
        <v>51</v>
      </c>
      <c r="J8" s="6" t="s">
        <v>28</v>
      </c>
      <c r="K8" s="6" t="s">
        <v>29</v>
      </c>
      <c r="L8" s="6" t="s">
        <v>40</v>
      </c>
      <c r="M8" s="6" t="s">
        <v>31</v>
      </c>
      <c r="N8" s="6"/>
      <c r="O8" s="7" t="s">
        <v>52</v>
      </c>
      <c r="P8" s="6" t="s">
        <v>33</v>
      </c>
      <c r="Q8" s="6" t="s">
        <v>34</v>
      </c>
      <c r="R8" s="8" t="s">
        <v>53</v>
      </c>
    </row>
    <row r="9" customFormat="false" ht="69" hidden="false" customHeight="true" outlineLevel="0" collapsed="false">
      <c r="A9" s="5" t="n">
        <v>5</v>
      </c>
      <c r="B9" s="5" t="s">
        <v>20</v>
      </c>
      <c r="C9" s="6" t="s">
        <v>54</v>
      </c>
      <c r="D9" s="6" t="s">
        <v>55</v>
      </c>
      <c r="E9" s="6" t="s">
        <v>56</v>
      </c>
      <c r="F9" s="6" t="s">
        <v>57</v>
      </c>
      <c r="G9" s="6" t="s">
        <v>25</v>
      </c>
      <c r="H9" s="6" t="s">
        <v>45</v>
      </c>
      <c r="I9" s="6" t="s">
        <v>58</v>
      </c>
      <c r="J9" s="6" t="s">
        <v>59</v>
      </c>
      <c r="K9" s="6" t="s">
        <v>33</v>
      </c>
      <c r="L9" s="6" t="s">
        <v>40</v>
      </c>
      <c r="M9" s="6" t="s">
        <v>60</v>
      </c>
      <c r="N9" s="6"/>
      <c r="O9" s="7" t="s">
        <v>61</v>
      </c>
      <c r="P9" s="6" t="s">
        <v>33</v>
      </c>
      <c r="Q9" s="6" t="s">
        <v>34</v>
      </c>
      <c r="R9" s="8" t="s">
        <v>62</v>
      </c>
    </row>
    <row r="10" customFormat="false" ht="94.5" hidden="false" customHeight="true" outlineLevel="0" collapsed="false">
      <c r="A10" s="5" t="n">
        <v>6</v>
      </c>
      <c r="B10" s="5" t="s">
        <v>20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25</v>
      </c>
      <c r="H10" s="6" t="s">
        <v>45</v>
      </c>
      <c r="I10" s="6" t="s">
        <v>67</v>
      </c>
      <c r="J10" s="6" t="s">
        <v>68</v>
      </c>
      <c r="K10" s="6" t="s">
        <v>69</v>
      </c>
      <c r="L10" s="6" t="s">
        <v>70</v>
      </c>
      <c r="M10" s="6" t="s">
        <v>71</v>
      </c>
      <c r="N10" s="6"/>
      <c r="O10" s="7" t="s">
        <v>72</v>
      </c>
      <c r="P10" s="6" t="s">
        <v>73</v>
      </c>
      <c r="Q10" s="6" t="s">
        <v>74</v>
      </c>
      <c r="R10" s="8" t="s">
        <v>75</v>
      </c>
    </row>
    <row r="11" customFormat="false" ht="81.75" hidden="false" customHeight="true" outlineLevel="0" collapsed="false">
      <c r="A11" s="5" t="n">
        <v>7</v>
      </c>
      <c r="B11" s="5" t="s">
        <v>20</v>
      </c>
      <c r="C11" s="6" t="s">
        <v>63</v>
      </c>
      <c r="D11" s="6" t="s">
        <v>64</v>
      </c>
      <c r="E11" s="6" t="s">
        <v>65</v>
      </c>
      <c r="F11" s="6" t="s">
        <v>76</v>
      </c>
      <c r="G11" s="6" t="s">
        <v>25</v>
      </c>
      <c r="H11" s="6" t="s">
        <v>45</v>
      </c>
      <c r="I11" s="6" t="s">
        <v>67</v>
      </c>
      <c r="J11" s="6" t="s">
        <v>77</v>
      </c>
      <c r="K11" s="6" t="s">
        <v>78</v>
      </c>
      <c r="L11" s="6" t="s">
        <v>79</v>
      </c>
      <c r="M11" s="6" t="s">
        <v>80</v>
      </c>
      <c r="N11" s="6"/>
      <c r="O11" s="7" t="s">
        <v>81</v>
      </c>
      <c r="P11" s="6" t="s">
        <v>78</v>
      </c>
      <c r="Q11" s="6" t="s">
        <v>82</v>
      </c>
      <c r="R11" s="9" t="s">
        <v>83</v>
      </c>
    </row>
    <row r="12" customFormat="false" ht="69" hidden="false" customHeight="true" outlineLevel="0" collapsed="false">
      <c r="A12" s="5" t="n">
        <v>8</v>
      </c>
      <c r="B12" s="5" t="s">
        <v>20</v>
      </c>
      <c r="C12" s="6" t="s">
        <v>63</v>
      </c>
      <c r="D12" s="6" t="s">
        <v>64</v>
      </c>
      <c r="E12" s="6" t="s">
        <v>65</v>
      </c>
      <c r="F12" s="6" t="s">
        <v>84</v>
      </c>
      <c r="G12" s="6" t="s">
        <v>25</v>
      </c>
      <c r="H12" s="6" t="s">
        <v>45</v>
      </c>
      <c r="I12" s="6" t="s">
        <v>67</v>
      </c>
      <c r="J12" s="6" t="s">
        <v>77</v>
      </c>
      <c r="K12" s="6" t="s">
        <v>78</v>
      </c>
      <c r="L12" s="6" t="s">
        <v>85</v>
      </c>
      <c r="M12" s="6" t="s">
        <v>80</v>
      </c>
      <c r="N12" s="6"/>
      <c r="O12" s="7" t="s">
        <v>81</v>
      </c>
      <c r="P12" s="6" t="s">
        <v>78</v>
      </c>
      <c r="Q12" s="6" t="s">
        <v>82</v>
      </c>
      <c r="R12" s="9" t="s">
        <v>86</v>
      </c>
    </row>
    <row r="13" customFormat="false" ht="81.75" hidden="false" customHeight="true" outlineLevel="0" collapsed="false">
      <c r="A13" s="5" t="n">
        <v>9</v>
      </c>
      <c r="B13" s="5" t="s">
        <v>20</v>
      </c>
      <c r="C13" s="6" t="s">
        <v>63</v>
      </c>
      <c r="D13" s="6" t="s">
        <v>64</v>
      </c>
      <c r="E13" s="6" t="s">
        <v>65</v>
      </c>
      <c r="F13" s="6" t="s">
        <v>87</v>
      </c>
      <c r="G13" s="6" t="s">
        <v>25</v>
      </c>
      <c r="H13" s="6" t="s">
        <v>45</v>
      </c>
      <c r="I13" s="6" t="s">
        <v>88</v>
      </c>
      <c r="J13" s="6" t="s">
        <v>89</v>
      </c>
      <c r="K13" s="6" t="s">
        <v>33</v>
      </c>
      <c r="L13" s="6" t="s">
        <v>40</v>
      </c>
      <c r="M13" s="6" t="s">
        <v>90</v>
      </c>
      <c r="N13" s="6"/>
      <c r="O13" s="7" t="s">
        <v>91</v>
      </c>
      <c r="P13" s="6" t="s">
        <v>33</v>
      </c>
      <c r="Q13" s="6" t="s">
        <v>34</v>
      </c>
      <c r="R13" s="9" t="s">
        <v>92</v>
      </c>
    </row>
    <row r="14" customFormat="false" ht="81.75" hidden="false" customHeight="true" outlineLevel="0" collapsed="false">
      <c r="A14" s="5" t="n">
        <v>10</v>
      </c>
      <c r="B14" s="5" t="s">
        <v>20</v>
      </c>
      <c r="C14" s="6" t="s">
        <v>93</v>
      </c>
      <c r="D14" s="6" t="s">
        <v>94</v>
      </c>
      <c r="E14" s="6" t="s">
        <v>95</v>
      </c>
      <c r="F14" s="6" t="s">
        <v>96</v>
      </c>
      <c r="G14" s="6" t="s">
        <v>25</v>
      </c>
      <c r="H14" s="6" t="s">
        <v>45</v>
      </c>
      <c r="I14" s="6" t="s">
        <v>97</v>
      </c>
      <c r="J14" s="6" t="s">
        <v>38</v>
      </c>
      <c r="K14" s="6" t="s">
        <v>33</v>
      </c>
      <c r="L14" s="6" t="s">
        <v>40</v>
      </c>
      <c r="M14" s="6" t="s">
        <v>98</v>
      </c>
      <c r="N14" s="6" t="s">
        <v>99</v>
      </c>
      <c r="O14" s="7" t="s">
        <v>100</v>
      </c>
      <c r="P14" s="6" t="s">
        <v>101</v>
      </c>
      <c r="Q14" s="6" t="s">
        <v>34</v>
      </c>
      <c r="R14" s="9" t="s">
        <v>102</v>
      </c>
    </row>
    <row r="15" customFormat="false" ht="69" hidden="false" customHeight="true" outlineLevel="0" collapsed="false">
      <c r="A15" s="5" t="n">
        <v>11</v>
      </c>
      <c r="B15" s="5" t="s">
        <v>20</v>
      </c>
      <c r="C15" s="6" t="s">
        <v>93</v>
      </c>
      <c r="D15" s="6" t="s">
        <v>103</v>
      </c>
      <c r="E15" s="6" t="s">
        <v>95</v>
      </c>
      <c r="F15" s="6" t="s">
        <v>104</v>
      </c>
      <c r="G15" s="6" t="s">
        <v>25</v>
      </c>
      <c r="H15" s="6" t="s">
        <v>45</v>
      </c>
      <c r="I15" s="6" t="s">
        <v>97</v>
      </c>
      <c r="J15" s="6" t="s">
        <v>38</v>
      </c>
      <c r="K15" s="6" t="s">
        <v>33</v>
      </c>
      <c r="L15" s="6" t="s">
        <v>40</v>
      </c>
      <c r="M15" s="6" t="s">
        <v>105</v>
      </c>
      <c r="N15" s="6" t="s">
        <v>106</v>
      </c>
      <c r="O15" s="7" t="s">
        <v>107</v>
      </c>
      <c r="P15" s="6" t="s">
        <v>101</v>
      </c>
      <c r="Q15" s="6" t="s">
        <v>34</v>
      </c>
      <c r="R15" s="8" t="s">
        <v>108</v>
      </c>
    </row>
    <row r="16" customFormat="false" ht="81.75" hidden="false" customHeight="true" outlineLevel="0" collapsed="false">
      <c r="A16" s="5" t="n">
        <v>12</v>
      </c>
      <c r="B16" s="5" t="s">
        <v>20</v>
      </c>
      <c r="C16" s="6" t="s">
        <v>109</v>
      </c>
      <c r="D16" s="6" t="s">
        <v>110</v>
      </c>
      <c r="E16" s="6" t="s">
        <v>111</v>
      </c>
      <c r="F16" s="6" t="s">
        <v>112</v>
      </c>
      <c r="G16" s="6" t="s">
        <v>25</v>
      </c>
      <c r="H16" s="6" t="s">
        <v>45</v>
      </c>
      <c r="I16" s="6" t="s">
        <v>80</v>
      </c>
      <c r="J16" s="6" t="s">
        <v>113</v>
      </c>
      <c r="K16" s="6" t="s">
        <v>114</v>
      </c>
      <c r="L16" s="6" t="s">
        <v>115</v>
      </c>
      <c r="M16" s="6" t="s">
        <v>80</v>
      </c>
      <c r="N16" s="6" t="s">
        <v>116</v>
      </c>
      <c r="O16" s="7" t="s">
        <v>117</v>
      </c>
      <c r="P16" s="6" t="s">
        <v>118</v>
      </c>
      <c r="Q16" s="6" t="s">
        <v>82</v>
      </c>
      <c r="R16" s="8" t="s">
        <v>119</v>
      </c>
    </row>
    <row r="17" customFormat="false" ht="69" hidden="false" customHeight="true" outlineLevel="0" collapsed="false">
      <c r="A17" s="5" t="n">
        <v>13</v>
      </c>
      <c r="B17" s="5" t="s">
        <v>20</v>
      </c>
      <c r="C17" s="6" t="s">
        <v>120</v>
      </c>
      <c r="D17" s="6" t="s">
        <v>121</v>
      </c>
      <c r="E17" s="6" t="s">
        <v>56</v>
      </c>
      <c r="F17" s="6" t="s">
        <v>122</v>
      </c>
      <c r="G17" s="6" t="s">
        <v>123</v>
      </c>
      <c r="H17" s="6" t="s">
        <v>124</v>
      </c>
      <c r="I17" s="6" t="s">
        <v>125</v>
      </c>
      <c r="J17" s="6" t="s">
        <v>77</v>
      </c>
      <c r="K17" s="6" t="s">
        <v>78</v>
      </c>
      <c r="L17" s="6" t="s">
        <v>126</v>
      </c>
      <c r="M17" s="6" t="s">
        <v>80</v>
      </c>
      <c r="N17" s="6"/>
      <c r="O17" s="7" t="s">
        <v>127</v>
      </c>
      <c r="P17" s="6" t="s">
        <v>128</v>
      </c>
      <c r="Q17" s="6" t="s">
        <v>82</v>
      </c>
      <c r="R17" s="8" t="s">
        <v>129</v>
      </c>
    </row>
    <row r="18" customFormat="false" ht="81.75" hidden="false" customHeight="true" outlineLevel="0" collapsed="false">
      <c r="A18" s="5" t="n">
        <v>14</v>
      </c>
      <c r="B18" s="5" t="s">
        <v>20</v>
      </c>
      <c r="C18" s="6" t="s">
        <v>120</v>
      </c>
      <c r="D18" s="6" t="s">
        <v>121</v>
      </c>
      <c r="E18" s="6" t="s">
        <v>56</v>
      </c>
      <c r="F18" s="6" t="s">
        <v>130</v>
      </c>
      <c r="G18" s="6" t="s">
        <v>25</v>
      </c>
      <c r="H18" s="6" t="s">
        <v>124</v>
      </c>
      <c r="I18" s="6" t="s">
        <v>125</v>
      </c>
      <c r="J18" s="6" t="s">
        <v>77</v>
      </c>
      <c r="K18" s="6" t="s">
        <v>78</v>
      </c>
      <c r="L18" s="6" t="s">
        <v>85</v>
      </c>
      <c r="M18" s="6" t="s">
        <v>80</v>
      </c>
      <c r="N18" s="6"/>
      <c r="O18" s="7" t="s">
        <v>131</v>
      </c>
      <c r="P18" s="6" t="s">
        <v>78</v>
      </c>
      <c r="Q18" s="6" t="s">
        <v>82</v>
      </c>
      <c r="R18" s="10" t="s">
        <v>132</v>
      </c>
    </row>
    <row r="19" customFormat="false" ht="94.5" hidden="false" customHeight="true" outlineLevel="0" collapsed="false">
      <c r="A19" s="5" t="n">
        <v>15</v>
      </c>
      <c r="B19" s="5" t="s">
        <v>20</v>
      </c>
      <c r="C19" s="6" t="s">
        <v>120</v>
      </c>
      <c r="D19" s="6" t="s">
        <v>121</v>
      </c>
      <c r="E19" s="6" t="s">
        <v>56</v>
      </c>
      <c r="F19" s="6" t="s">
        <v>133</v>
      </c>
      <c r="G19" s="6" t="s">
        <v>25</v>
      </c>
      <c r="H19" s="6" t="s">
        <v>124</v>
      </c>
      <c r="I19" s="6" t="s">
        <v>125</v>
      </c>
      <c r="J19" s="6" t="s">
        <v>77</v>
      </c>
      <c r="K19" s="6" t="s">
        <v>78</v>
      </c>
      <c r="L19" s="6" t="s">
        <v>85</v>
      </c>
      <c r="M19" s="6" t="s">
        <v>80</v>
      </c>
      <c r="N19" s="6"/>
      <c r="O19" s="7" t="s">
        <v>131</v>
      </c>
      <c r="P19" s="6" t="s">
        <v>78</v>
      </c>
      <c r="Q19" s="6" t="s">
        <v>82</v>
      </c>
      <c r="R19" s="8" t="s">
        <v>134</v>
      </c>
    </row>
    <row r="20" customFormat="false" ht="55.5" hidden="false" customHeight="true" outlineLevel="0" collapsed="false">
      <c r="A20" s="11" t="n">
        <v>16</v>
      </c>
      <c r="B20" s="11" t="s">
        <v>135</v>
      </c>
      <c r="C20" s="6" t="s">
        <v>54</v>
      </c>
      <c r="D20" s="6" t="s">
        <v>55</v>
      </c>
      <c r="E20" s="6" t="s">
        <v>56</v>
      </c>
      <c r="F20" s="6" t="s">
        <v>136</v>
      </c>
      <c r="G20" s="6" t="s">
        <v>25</v>
      </c>
      <c r="H20" s="6" t="s">
        <v>137</v>
      </c>
      <c r="I20" s="6" t="s">
        <v>58</v>
      </c>
      <c r="J20" s="6" t="s">
        <v>138</v>
      </c>
      <c r="K20" s="6" t="s">
        <v>33</v>
      </c>
      <c r="L20" s="6" t="s">
        <v>40</v>
      </c>
      <c r="M20" s="6" t="s">
        <v>139</v>
      </c>
      <c r="N20" s="6"/>
      <c r="O20" s="7" t="s">
        <v>140</v>
      </c>
      <c r="P20" s="6" t="s">
        <v>33</v>
      </c>
      <c r="Q20" s="6" t="s">
        <v>34</v>
      </c>
      <c r="R20" s="8" t="s">
        <v>141</v>
      </c>
    </row>
    <row r="21" customFormat="false" ht="55.5" hidden="false" customHeight="true" outlineLevel="0" collapsed="false">
      <c r="A21" s="11" t="n">
        <v>17</v>
      </c>
      <c r="B21" s="11" t="s">
        <v>135</v>
      </c>
      <c r="C21" s="6" t="s">
        <v>54</v>
      </c>
      <c r="D21" s="6" t="s">
        <v>55</v>
      </c>
      <c r="E21" s="6" t="s">
        <v>56</v>
      </c>
      <c r="F21" s="6" t="s">
        <v>142</v>
      </c>
      <c r="G21" s="6" t="s">
        <v>25</v>
      </c>
      <c r="H21" s="6" t="s">
        <v>137</v>
      </c>
      <c r="I21" s="6" t="s">
        <v>143</v>
      </c>
      <c r="J21" s="6" t="s">
        <v>138</v>
      </c>
      <c r="K21" s="6" t="s">
        <v>33</v>
      </c>
      <c r="L21" s="6" t="s">
        <v>40</v>
      </c>
      <c r="M21" s="6" t="s">
        <v>139</v>
      </c>
      <c r="N21" s="6"/>
      <c r="O21" s="7" t="s">
        <v>144</v>
      </c>
      <c r="P21" s="6" t="s">
        <v>33</v>
      </c>
      <c r="Q21" s="6" t="s">
        <v>34</v>
      </c>
      <c r="R21" s="8" t="s">
        <v>145</v>
      </c>
    </row>
    <row r="22" customFormat="false" ht="81.75" hidden="false" customHeight="true" outlineLevel="0" collapsed="false">
      <c r="A22" s="11" t="n">
        <v>18</v>
      </c>
      <c r="B22" s="11" t="s">
        <v>135</v>
      </c>
      <c r="C22" s="6" t="s">
        <v>63</v>
      </c>
      <c r="D22" s="6" t="s">
        <v>64</v>
      </c>
      <c r="E22" s="6" t="s">
        <v>65</v>
      </c>
      <c r="F22" s="6" t="s">
        <v>146</v>
      </c>
      <c r="G22" s="6" t="s">
        <v>25</v>
      </c>
      <c r="H22" s="6" t="s">
        <v>45</v>
      </c>
      <c r="I22" s="6" t="s">
        <v>67</v>
      </c>
      <c r="J22" s="6" t="s">
        <v>147</v>
      </c>
      <c r="K22" s="6" t="s">
        <v>33</v>
      </c>
      <c r="L22" s="6" t="s">
        <v>40</v>
      </c>
      <c r="M22" s="6" t="s">
        <v>90</v>
      </c>
      <c r="N22" s="6" t="s">
        <v>148</v>
      </c>
      <c r="O22" s="7" t="s">
        <v>149</v>
      </c>
      <c r="P22" s="6" t="s">
        <v>101</v>
      </c>
      <c r="Q22" s="6" t="s">
        <v>150</v>
      </c>
      <c r="R22" s="8" t="s">
        <v>151</v>
      </c>
    </row>
    <row r="23" customFormat="false" ht="81.75" hidden="false" customHeight="true" outlineLevel="0" collapsed="false">
      <c r="A23" s="11" t="n">
        <v>19</v>
      </c>
      <c r="B23" s="11" t="s">
        <v>135</v>
      </c>
      <c r="C23" s="6" t="s">
        <v>152</v>
      </c>
      <c r="D23" s="6" t="s">
        <v>153</v>
      </c>
      <c r="E23" s="6" t="s">
        <v>154</v>
      </c>
      <c r="F23" s="6" t="s">
        <v>155</v>
      </c>
      <c r="G23" s="6" t="s">
        <v>25</v>
      </c>
      <c r="H23" s="6" t="s">
        <v>26</v>
      </c>
      <c r="I23" s="6" t="s">
        <v>156</v>
      </c>
      <c r="J23" s="6" t="s">
        <v>157</v>
      </c>
      <c r="K23" s="6" t="s">
        <v>33</v>
      </c>
      <c r="L23" s="6" t="s">
        <v>158</v>
      </c>
      <c r="M23" s="6" t="s">
        <v>159</v>
      </c>
      <c r="N23" s="6" t="s">
        <v>160</v>
      </c>
      <c r="O23" s="7" t="s">
        <v>161</v>
      </c>
      <c r="P23" s="6" t="s">
        <v>33</v>
      </c>
      <c r="Q23" s="6" t="s">
        <v>34</v>
      </c>
      <c r="R23" s="10" t="s">
        <v>162</v>
      </c>
    </row>
    <row r="24" customFormat="false" ht="81.75" hidden="false" customHeight="true" outlineLevel="0" collapsed="false">
      <c r="A24" s="11" t="n">
        <v>20</v>
      </c>
      <c r="B24" s="11" t="s">
        <v>135</v>
      </c>
      <c r="C24" s="6" t="s">
        <v>163</v>
      </c>
      <c r="D24" s="6" t="s">
        <v>164</v>
      </c>
      <c r="E24" s="6" t="s">
        <v>95</v>
      </c>
      <c r="F24" s="6" t="s">
        <v>165</v>
      </c>
      <c r="G24" s="6" t="s">
        <v>25</v>
      </c>
      <c r="H24" s="6" t="s">
        <v>166</v>
      </c>
      <c r="I24" s="6" t="s">
        <v>67</v>
      </c>
      <c r="J24" s="6" t="s">
        <v>167</v>
      </c>
      <c r="K24" s="6" t="s">
        <v>33</v>
      </c>
      <c r="L24" s="6" t="s">
        <v>80</v>
      </c>
      <c r="M24" s="6" t="s">
        <v>168</v>
      </c>
      <c r="N24" s="6"/>
      <c r="O24" s="7" t="s">
        <v>169</v>
      </c>
      <c r="P24" s="6" t="s">
        <v>33</v>
      </c>
      <c r="Q24" s="6" t="s">
        <v>34</v>
      </c>
      <c r="R24" s="8" t="s">
        <v>170</v>
      </c>
    </row>
    <row r="25" customFormat="false" ht="94.5" hidden="false" customHeight="true" outlineLevel="0" collapsed="false">
      <c r="A25" s="11" t="n">
        <v>21</v>
      </c>
      <c r="B25" s="11" t="s">
        <v>135</v>
      </c>
      <c r="C25" s="6" t="s">
        <v>163</v>
      </c>
      <c r="D25" s="6" t="s">
        <v>164</v>
      </c>
      <c r="E25" s="6" t="s">
        <v>95</v>
      </c>
      <c r="F25" s="6" t="s">
        <v>171</v>
      </c>
      <c r="G25" s="6" t="s">
        <v>25</v>
      </c>
      <c r="H25" s="6" t="s">
        <v>80</v>
      </c>
      <c r="I25" s="6" t="s">
        <v>80</v>
      </c>
      <c r="J25" s="6" t="s">
        <v>167</v>
      </c>
      <c r="K25" s="6" t="s">
        <v>33</v>
      </c>
      <c r="L25" s="6" t="s">
        <v>80</v>
      </c>
      <c r="M25" s="6" t="s">
        <v>80</v>
      </c>
      <c r="N25" s="6"/>
      <c r="O25" s="7" t="s">
        <v>172</v>
      </c>
      <c r="P25" s="6" t="s">
        <v>33</v>
      </c>
      <c r="Q25" s="6" t="s">
        <v>34</v>
      </c>
      <c r="R25" s="8" t="s">
        <v>173</v>
      </c>
    </row>
    <row r="26" customFormat="false" ht="69" hidden="false" customHeight="true" outlineLevel="0" collapsed="false">
      <c r="A26" s="11" t="n">
        <v>22</v>
      </c>
      <c r="B26" s="11" t="s">
        <v>135</v>
      </c>
      <c r="C26" s="6" t="s">
        <v>174</v>
      </c>
      <c r="D26" s="6" t="s">
        <v>175</v>
      </c>
      <c r="E26" s="6" t="s">
        <v>176</v>
      </c>
      <c r="F26" s="6" t="s">
        <v>36</v>
      </c>
      <c r="G26" s="6" t="s">
        <v>25</v>
      </c>
      <c r="H26" s="6" t="s">
        <v>45</v>
      </c>
      <c r="I26" s="6" t="s">
        <v>80</v>
      </c>
      <c r="J26" s="6" t="s">
        <v>177</v>
      </c>
      <c r="K26" s="6" t="s">
        <v>33</v>
      </c>
      <c r="L26" s="6" t="s">
        <v>80</v>
      </c>
      <c r="M26" s="6" t="s">
        <v>80</v>
      </c>
      <c r="N26" s="6"/>
      <c r="O26" s="7" t="s">
        <v>178</v>
      </c>
      <c r="P26" s="6" t="s">
        <v>33</v>
      </c>
      <c r="Q26" s="6" t="s">
        <v>34</v>
      </c>
      <c r="R26" s="8" t="s">
        <v>179</v>
      </c>
    </row>
    <row r="27" customFormat="false" ht="69" hidden="false" customHeight="true" outlineLevel="0" collapsed="false">
      <c r="A27" s="11" t="n">
        <v>23</v>
      </c>
      <c r="B27" s="11" t="s">
        <v>135</v>
      </c>
      <c r="C27" s="6" t="s">
        <v>180</v>
      </c>
      <c r="D27" s="6" t="s">
        <v>181</v>
      </c>
      <c r="E27" s="6" t="s">
        <v>95</v>
      </c>
      <c r="F27" s="6" t="s">
        <v>182</v>
      </c>
      <c r="G27" s="6" t="s">
        <v>25</v>
      </c>
      <c r="H27" s="6" t="s">
        <v>45</v>
      </c>
      <c r="I27" s="6" t="s">
        <v>51</v>
      </c>
      <c r="J27" s="6" t="s">
        <v>183</v>
      </c>
      <c r="K27" s="6" t="s">
        <v>33</v>
      </c>
      <c r="L27" s="6" t="s">
        <v>184</v>
      </c>
      <c r="M27" s="6" t="s">
        <v>185</v>
      </c>
      <c r="N27" s="6"/>
      <c r="O27" s="7" t="s">
        <v>186</v>
      </c>
      <c r="P27" s="6" t="s">
        <v>33</v>
      </c>
      <c r="Q27" s="6" t="s">
        <v>34</v>
      </c>
      <c r="R27" s="10" t="s">
        <v>187</v>
      </c>
    </row>
    <row r="28" customFormat="false" ht="94.5" hidden="false" customHeight="true" outlineLevel="0" collapsed="false">
      <c r="A28" s="11" t="n">
        <v>24</v>
      </c>
      <c r="B28" s="11" t="s">
        <v>135</v>
      </c>
      <c r="C28" s="6" t="s">
        <v>188</v>
      </c>
      <c r="D28" s="6" t="s">
        <v>189</v>
      </c>
      <c r="E28" s="6" t="s">
        <v>190</v>
      </c>
      <c r="F28" s="6" t="s">
        <v>165</v>
      </c>
      <c r="G28" s="6" t="s">
        <v>25</v>
      </c>
      <c r="H28" s="6" t="s">
        <v>137</v>
      </c>
      <c r="I28" s="6" t="s">
        <v>191</v>
      </c>
      <c r="J28" s="6" t="s">
        <v>192</v>
      </c>
      <c r="K28" s="6" t="s">
        <v>29</v>
      </c>
      <c r="L28" s="6" t="s">
        <v>80</v>
      </c>
      <c r="M28" s="6" t="s">
        <v>193</v>
      </c>
      <c r="N28" s="6"/>
      <c r="O28" s="7" t="s">
        <v>194</v>
      </c>
      <c r="P28" s="6" t="s">
        <v>33</v>
      </c>
      <c r="Q28" s="6" t="s">
        <v>34</v>
      </c>
      <c r="R28" s="8" t="s">
        <v>195</v>
      </c>
    </row>
    <row r="29" customFormat="false" ht="69" hidden="false" customHeight="true" outlineLevel="0" collapsed="false">
      <c r="A29" s="11" t="n">
        <v>25</v>
      </c>
      <c r="B29" s="11" t="s">
        <v>135</v>
      </c>
      <c r="C29" s="6" t="s">
        <v>196</v>
      </c>
      <c r="D29" s="6" t="s">
        <v>197</v>
      </c>
      <c r="E29" s="6" t="s">
        <v>95</v>
      </c>
      <c r="F29" s="6" t="s">
        <v>165</v>
      </c>
      <c r="G29" s="6" t="s">
        <v>25</v>
      </c>
      <c r="H29" s="6" t="s">
        <v>45</v>
      </c>
      <c r="I29" s="6" t="s">
        <v>198</v>
      </c>
      <c r="J29" s="6" t="s">
        <v>199</v>
      </c>
      <c r="K29" s="6" t="s">
        <v>29</v>
      </c>
      <c r="L29" s="6" t="s">
        <v>80</v>
      </c>
      <c r="M29" s="6" t="s">
        <v>200</v>
      </c>
      <c r="N29" s="6"/>
      <c r="O29" s="7" t="s">
        <v>201</v>
      </c>
      <c r="P29" s="6" t="s">
        <v>33</v>
      </c>
      <c r="Q29" s="6" t="s">
        <v>34</v>
      </c>
      <c r="R29" s="8" t="s">
        <v>202</v>
      </c>
    </row>
    <row r="30" customFormat="false" ht="55.5" hidden="false" customHeight="true" outlineLevel="0" collapsed="false">
      <c r="A30" s="11" t="n">
        <v>26</v>
      </c>
      <c r="B30" s="11" t="s">
        <v>135</v>
      </c>
      <c r="C30" s="6" t="s">
        <v>196</v>
      </c>
      <c r="D30" s="6" t="s">
        <v>197</v>
      </c>
      <c r="E30" s="6" t="s">
        <v>95</v>
      </c>
      <c r="F30" s="6" t="s">
        <v>203</v>
      </c>
      <c r="G30" s="6" t="s">
        <v>25</v>
      </c>
      <c r="H30" s="6" t="s">
        <v>45</v>
      </c>
      <c r="I30" s="6" t="s">
        <v>80</v>
      </c>
      <c r="J30" s="6" t="s">
        <v>199</v>
      </c>
      <c r="K30" s="6" t="s">
        <v>73</v>
      </c>
      <c r="L30" s="6" t="s">
        <v>204</v>
      </c>
      <c r="M30" s="6" t="s">
        <v>105</v>
      </c>
      <c r="N30" s="6"/>
      <c r="O30" s="7" t="s">
        <v>205</v>
      </c>
      <c r="P30" s="6" t="s">
        <v>73</v>
      </c>
      <c r="Q30" s="6" t="s">
        <v>34</v>
      </c>
      <c r="R30" s="8" t="s">
        <v>206</v>
      </c>
    </row>
    <row r="31" customFormat="false" ht="69" hidden="false" customHeight="true" outlineLevel="0" collapsed="false">
      <c r="A31" s="11" t="n">
        <v>27</v>
      </c>
      <c r="B31" s="11" t="s">
        <v>135</v>
      </c>
      <c r="C31" s="6" t="s">
        <v>207</v>
      </c>
      <c r="D31" s="6" t="s">
        <v>208</v>
      </c>
      <c r="E31" s="6" t="s">
        <v>209</v>
      </c>
      <c r="F31" s="6" t="s">
        <v>210</v>
      </c>
      <c r="G31" s="6" t="s">
        <v>25</v>
      </c>
      <c r="H31" s="6" t="s">
        <v>45</v>
      </c>
      <c r="I31" s="6" t="s">
        <v>80</v>
      </c>
      <c r="J31" s="6" t="s">
        <v>211</v>
      </c>
      <c r="K31" s="6" t="s">
        <v>73</v>
      </c>
      <c r="L31" s="6" t="s">
        <v>212</v>
      </c>
      <c r="M31" s="6" t="s">
        <v>60</v>
      </c>
      <c r="N31" s="6"/>
      <c r="O31" s="7" t="s">
        <v>213</v>
      </c>
      <c r="P31" s="6" t="s">
        <v>73</v>
      </c>
      <c r="Q31" s="6" t="s">
        <v>34</v>
      </c>
      <c r="R31" s="8" t="s">
        <v>214</v>
      </c>
    </row>
    <row r="32" customFormat="false" ht="69" hidden="false" customHeight="true" outlineLevel="0" collapsed="false">
      <c r="A32" s="11" t="n">
        <v>28</v>
      </c>
      <c r="B32" s="11" t="s">
        <v>135</v>
      </c>
      <c r="C32" s="6" t="s">
        <v>215</v>
      </c>
      <c r="D32" s="6" t="s">
        <v>216</v>
      </c>
      <c r="E32" s="6" t="s">
        <v>23</v>
      </c>
      <c r="F32" s="6" t="s">
        <v>217</v>
      </c>
      <c r="G32" s="6" t="s">
        <v>25</v>
      </c>
      <c r="H32" s="6" t="s">
        <v>45</v>
      </c>
      <c r="I32" s="6" t="s">
        <v>218</v>
      </c>
      <c r="J32" s="6" t="s">
        <v>219</v>
      </c>
      <c r="K32" s="6" t="s">
        <v>33</v>
      </c>
      <c r="L32" s="6" t="s">
        <v>220</v>
      </c>
      <c r="M32" s="6" t="s">
        <v>221</v>
      </c>
      <c r="N32" s="6"/>
      <c r="O32" s="7" t="s">
        <v>222</v>
      </c>
      <c r="P32" s="6" t="s">
        <v>33</v>
      </c>
      <c r="Q32" s="6" t="s">
        <v>34</v>
      </c>
      <c r="R32" s="8" t="s">
        <v>223</v>
      </c>
    </row>
    <row r="33" customFormat="false" ht="69" hidden="false" customHeight="true" outlineLevel="0" collapsed="false">
      <c r="A33" s="12" t="n">
        <v>29</v>
      </c>
      <c r="B33" s="12" t="s">
        <v>224</v>
      </c>
      <c r="C33" s="6" t="s">
        <v>225</v>
      </c>
      <c r="D33" s="6" t="s">
        <v>226</v>
      </c>
      <c r="E33" s="6" t="s">
        <v>190</v>
      </c>
      <c r="F33" s="6" t="s">
        <v>227</v>
      </c>
      <c r="G33" s="6" t="s">
        <v>123</v>
      </c>
      <c r="H33" s="6" t="s">
        <v>45</v>
      </c>
      <c r="I33" s="6" t="s">
        <v>80</v>
      </c>
      <c r="J33" s="6" t="s">
        <v>228</v>
      </c>
      <c r="K33" s="6" t="s">
        <v>229</v>
      </c>
      <c r="L33" s="6" t="s">
        <v>80</v>
      </c>
      <c r="M33" s="6" t="s">
        <v>80</v>
      </c>
      <c r="N33" s="6" t="s">
        <v>230</v>
      </c>
      <c r="O33" s="7" t="s">
        <v>231</v>
      </c>
      <c r="P33" s="6" t="s">
        <v>232</v>
      </c>
      <c r="Q33" s="6" t="s">
        <v>233</v>
      </c>
      <c r="R33" s="9" t="s">
        <v>234</v>
      </c>
    </row>
    <row r="34" customFormat="false" ht="69" hidden="false" customHeight="true" outlineLevel="0" collapsed="false">
      <c r="A34" s="12" t="n">
        <v>30</v>
      </c>
      <c r="B34" s="12" t="s">
        <v>224</v>
      </c>
      <c r="C34" s="6" t="s">
        <v>235</v>
      </c>
      <c r="D34" s="6" t="s">
        <v>236</v>
      </c>
      <c r="E34" s="6" t="s">
        <v>209</v>
      </c>
      <c r="F34" s="6" t="s">
        <v>237</v>
      </c>
      <c r="G34" s="6" t="s">
        <v>25</v>
      </c>
      <c r="H34" s="6" t="s">
        <v>45</v>
      </c>
      <c r="I34" s="6" t="s">
        <v>80</v>
      </c>
      <c r="J34" s="6" t="s">
        <v>228</v>
      </c>
      <c r="K34" s="6" t="s">
        <v>229</v>
      </c>
      <c r="L34" s="6" t="s">
        <v>80</v>
      </c>
      <c r="M34" s="6" t="s">
        <v>80</v>
      </c>
      <c r="N34" s="6" t="s">
        <v>230</v>
      </c>
      <c r="O34" s="7" t="s">
        <v>238</v>
      </c>
      <c r="P34" s="6" t="s">
        <v>232</v>
      </c>
      <c r="Q34" s="6" t="s">
        <v>233</v>
      </c>
      <c r="R34" s="8" t="s">
        <v>239</v>
      </c>
    </row>
  </sheetData>
  <autoFilter ref="A4:R34"/>
  <mergeCells count="1">
    <mergeCell ref="A2:R2"/>
  </mergeCells>
  <dataValidations count="1">
    <dataValidation allowBlank="true" errorStyle="stop" operator="between" showDropDown="false" showErrorMessage="false" showInputMessage="false" sqref="R5:R34" type="list">
      <formula1>"Confirmed,Wrong,Needs follow-up"</formula1>
      <formula2>0</formula2>
    </dataValidation>
  </dataValidations>
  <hyperlinks>
    <hyperlink ref="O5" r:id="rId1" display="https://www2.daad.de/deutschland/studienangebote/international-programmes/en/detail/4122/"/>
    <hyperlink ref="O6" r:id="rId2" display="https://www2.daad.de/deutschland/studienangebote/international-programmes/en/detail/4493"/>
    <hyperlink ref="O7" r:id="rId3" display="https://www2.daad.de/deutschland/studienangebote/international-programmes/en/detail/4655/"/>
    <hyperlink ref="O8" r:id="rId4" display="https://www2.daad.de/deutschland/studienangebote/international-programmes/en/detail/4103/"/>
    <hyperlink ref="O9" r:id="rId5" display="https://www2.daad.de/deutschland/studienangebote/international-programmes/en/detail/6091"/>
    <hyperlink ref="O10" r:id="rId6" display="https://www.b-tu.de/en/artificial-intelligence-ms/faq"/>
    <hyperlink ref="O11" r:id="rId7" display="https://www.mygermanuniversity.com/cities/Cottbus/international-programs"/>
    <hyperlink ref="O12" r:id="rId8" display="https://www.mygermanuniversity.com/cities/Cottbus/international-programs"/>
    <hyperlink ref="O13" r:id="rId9" display="https://www2.daad.de/deutschland/studienangebote/international-programmes/en/detail/3681"/>
    <hyperlink ref="O14" r:id="rId10" display="https://www2.daad.de/deutschland/studienangebote/international-programmes/en/detail/4492"/>
    <hyperlink ref="O15" r:id="rId11" display="https://www2.daad.de/deutschland/studienangebote/international-programmes/en/detail/4490"/>
    <hyperlink ref="O16" r:id="rId12" display="https://www.ismll.uni-hildesheim.de/da/index_en.html"/>
    <hyperlink ref="O17" r:id="rId13" display="https://www.hs-anhalt.de/studiengaenge/met/studium.html"/>
    <hyperlink ref="O18" r:id="rId14" display="https://www.mygermanuniversity.com/universities/Anhalt-University-of-Applied-Sciences/international-programs"/>
    <hyperlink ref="O19" r:id="rId15" display="https://www.mygermanuniversity.com/universities/Anhalt-University-of-Applied-Sciences/international-programs"/>
    <hyperlink ref="O20" r:id="rId16" display="https://www2.daad.de/deutschland/studienangebote/international-programmes/en/detail/4429"/>
    <hyperlink ref="O21" r:id="rId17" display="https://www2.daad.de/deutschland/studienangebote/international-programmes/en/detail/4427"/>
    <hyperlink ref="O22" r:id="rId18" display="https://www.b-tu.de/en/powerengineering-ms/admission"/>
    <hyperlink ref="O23" r:id="rId19" display="https://www2.daad.de/deutschland/studienangebote/international-programmes/en/detail/4092"/>
    <hyperlink ref="O24" r:id="rId20" display="https://www2.daad.de/deutschland/studienangebote/international-programmes/en/detail/5616"/>
    <hyperlink ref="O25" r:id="rId21" display="https://www2.daad.de/deutschland/studienangebote/international-programmes/en/detail/5625"/>
    <hyperlink ref="O26" r:id="rId22" display="https://www2.daad.de/deutschland/studienangebote/international-programmes/en/detail/3923"/>
    <hyperlink ref="O27" r:id="rId23" display="https://www2.daad.de/deutschland/studienangebote/international-programmes/en/detail/8996"/>
    <hyperlink ref="O28" r:id="rId24" display="https://www2.daad.de/deutschland/studienangebote/international-programmes/en/detail/4455/"/>
    <hyperlink ref="O29" r:id="rId25" display="https://www2.daad.de/deutschland/studienangebote/international-programmes/en/detail/4591/"/>
    <hyperlink ref="O30" r:id="rId26" display="https://www.uni-siegen.de/en/study/master/mechatronics"/>
    <hyperlink ref="O31" r:id="rId27" display="https://rptu.de/en/cvt/master-program-cvt/application-admission-requirements"/>
    <hyperlink ref="O32" r:id="rId28" display="https://www2.daad.de/deutschland/studienangebote/international-programmes/en/detail/4288"/>
    <hyperlink ref="O33" r:id="rId29" display="https://www.myguide.de/en/international-programmes-master/detail/hochschule-hof-software-engineering-for-industrial-applications-meng-3667/?ip-id=3667"/>
    <hyperlink ref="O34" r:id="rId30" display="https://www.myguide.de/en/international-programmes-master/detail/university-of-koblenz-web-and-data-science-msc-4384/?ip-id=438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</cols>
  <sheetData>
    <row r="1" customFormat="false" ht="15.75" hidden="false" customHeight="true" outlineLevel="0" collapsed="false">
      <c r="A1" s="2" t="s">
        <v>240</v>
      </c>
    </row>
    <row r="3" customFormat="false" ht="15" hidden="false" customHeight="true" outlineLevel="0" collapsed="false">
      <c r="A3" s="13" t="s">
        <v>241</v>
      </c>
      <c r="B3" s="14" t="n">
        <f aca="false">COUNTIF(Shortlist!B5:B34,"A")</f>
        <v>15</v>
      </c>
    </row>
    <row r="4" customFormat="false" ht="15" hidden="false" customHeight="true" outlineLevel="0" collapsed="false">
      <c r="A4" s="13" t="s">
        <v>242</v>
      </c>
      <c r="B4" s="14" t="n">
        <f aca="false">COUNTIF(Shortlist!B5:B34,"B")</f>
        <v>13</v>
      </c>
    </row>
    <row r="5" customFormat="false" ht="15" hidden="false" customHeight="true" outlineLevel="0" collapsed="false">
      <c r="A5" s="13" t="s">
        <v>243</v>
      </c>
      <c r="B5" s="14" t="n">
        <f aca="false">COUNTIF(Shortlist!B5:B34,"C")</f>
        <v>2</v>
      </c>
    </row>
    <row r="6" customFormat="false" ht="15" hidden="false" customHeight="true" outlineLevel="0" collapsed="false">
      <c r="A6" s="13" t="s">
        <v>244</v>
      </c>
      <c r="B6" s="14" t="n">
        <f aca="false">COUNTA(Shortlist!F5:F34)</f>
        <v>30</v>
      </c>
    </row>
    <row r="7" customFormat="false" ht="15" hidden="false" customHeight="true" outlineLevel="0" collapsed="false">
      <c r="A7" s="13" t="s">
        <v>245</v>
      </c>
      <c r="B7" s="14" t="n">
        <f aca="false">COUNTIF(Shortlist!P5:P34,"DAAD*")+COUNTIF(Shortlist!P5:P34,"Official*")</f>
        <v>26</v>
      </c>
    </row>
    <row r="8" customFormat="false" ht="15" hidden="false" customHeight="true" outlineLevel="0" collapsed="false">
      <c r="A8" s="13" t="s">
        <v>246</v>
      </c>
      <c r="B8" s="14" t="n">
        <f aca="false">COUNTIF(Shortlist!P5:P34,"Third-party")</f>
        <v>4</v>
      </c>
    </row>
    <row r="9" customFormat="false" ht="15" hidden="false" customHeight="true" outlineLevel="0" collapsed="false">
      <c r="A9" s="13" t="s">
        <v>247</v>
      </c>
      <c r="B9" s="14" t="n">
        <f aca="false">COUNTIF(Shortlist!R5:R34,"Confirmed*")</f>
        <v>21</v>
      </c>
    </row>
    <row r="10" customFormat="false" ht="15" hidden="false" customHeight="false" outlineLevel="0" collapsed="false">
      <c r="A10" s="13" t="s">
        <v>248</v>
      </c>
      <c r="B10" s="14" t="n">
        <f aca="false">COUNTIF(Shortlist!R5:R34,"Wrong*")</f>
        <v>6</v>
      </c>
    </row>
    <row r="11" customFormat="false" ht="15" hidden="false" customHeight="false" outlineLevel="0" collapsed="false">
      <c r="A11" s="13" t="s">
        <v>249</v>
      </c>
      <c r="B11" s="14" t="n">
        <f aca="false">COUNTIF(Shortlist!R5:R34,"Needs follow-up*")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90"/>
  </cols>
  <sheetData>
    <row r="1" customFormat="false" ht="15.75" hidden="false" customHeight="true" outlineLevel="0" collapsed="false">
      <c r="A1" s="2" t="s">
        <v>250</v>
      </c>
    </row>
    <row r="2" customFormat="false" ht="15" hidden="false" customHeight="true" outlineLevel="0" collapsed="false">
      <c r="A2" s="15" t="s">
        <v>251</v>
      </c>
      <c r="B2" s="15" t="s">
        <v>252</v>
      </c>
    </row>
    <row r="3" customFormat="false" ht="15" hidden="false" customHeight="true" outlineLevel="0" collapsed="false">
      <c r="A3" s="15" t="s">
        <v>253</v>
      </c>
      <c r="B3" s="15" t="s">
        <v>254</v>
      </c>
    </row>
    <row r="4" customFormat="false" ht="15" hidden="false" customHeight="true" outlineLevel="0" collapsed="false">
      <c r="A4" s="15" t="s">
        <v>255</v>
      </c>
      <c r="B4" s="15" t="s">
        <v>256</v>
      </c>
    </row>
    <row r="5" customFormat="false" ht="15" hidden="false" customHeight="true" outlineLevel="0" collapsed="false">
      <c r="A5" s="15" t="s">
        <v>257</v>
      </c>
      <c r="B5" s="15" t="s">
        <v>258</v>
      </c>
    </row>
    <row r="6" customFormat="false" ht="15" hidden="false" customHeight="true" outlineLevel="0" collapsed="false">
      <c r="A6" s="15" t="s">
        <v>259</v>
      </c>
      <c r="B6" s="15" t="s">
        <v>260</v>
      </c>
    </row>
    <row r="7" customFormat="false" ht="15" hidden="false" customHeight="true" outlineLevel="0" collapsed="false">
      <c r="A7" s="15" t="s">
        <v>261</v>
      </c>
      <c r="B7" s="15" t="s">
        <v>262</v>
      </c>
    </row>
    <row r="10" customFormat="false" ht="15.75" hidden="false" customHeight="true" outlineLevel="0" collapsed="false">
      <c r="A10" s="2" t="s">
        <v>263</v>
      </c>
    </row>
    <row r="11" customFormat="false" ht="15" hidden="false" customHeight="true" outlineLevel="0" collapsed="false">
      <c r="A11" s="15" t="s">
        <v>264</v>
      </c>
      <c r="B11" s="16" t="s">
        <v>265</v>
      </c>
    </row>
    <row r="12" customFormat="false" ht="15" hidden="false" customHeight="true" outlineLevel="0" collapsed="false">
      <c r="A12" s="15" t="s">
        <v>266</v>
      </c>
      <c r="B12" s="16" t="s">
        <v>267</v>
      </c>
    </row>
    <row r="13" customFormat="false" ht="15" hidden="false" customHeight="true" outlineLevel="0" collapsed="false">
      <c r="A13" s="15" t="s">
        <v>268</v>
      </c>
      <c r="B13" s="16" t="s">
        <v>269</v>
      </c>
    </row>
    <row r="14" customFormat="false" ht="15" hidden="false" customHeight="true" outlineLevel="0" collapsed="false">
      <c r="A14" s="15" t="s">
        <v>270</v>
      </c>
      <c r="B14" s="16" t="s">
        <v>271</v>
      </c>
    </row>
    <row r="15" customFormat="false" ht="15" hidden="false" customHeight="true" outlineLevel="0" collapsed="false">
      <c r="A15" s="15" t="s">
        <v>272</v>
      </c>
      <c r="B15" s="16" t="s">
        <v>273</v>
      </c>
    </row>
    <row r="16" customFormat="false" ht="15" hidden="false" customHeight="true" outlineLevel="0" collapsed="false">
      <c r="A16" s="15" t="s">
        <v>274</v>
      </c>
      <c r="B16" s="16" t="s">
        <v>275</v>
      </c>
    </row>
    <row r="17" customFormat="false" ht="15" hidden="false" customHeight="true" outlineLevel="0" collapsed="false">
      <c r="A17" s="15" t="s">
        <v>276</v>
      </c>
      <c r="B17" s="16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2026-10-12T11:40:53Z</dcterms:created>
  <dc:creator>openpyxl</dc:creator>
  <dc:description/>
  <dc:language>en-US</dc:language>
  <cp:lastModifiedBy/>
  <dcterms:modified xsi:type="dcterms:W3CDTF">2026-10-13T09:21:59Z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